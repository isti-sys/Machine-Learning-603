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11760"/>
  </bookViews>
  <sheets>
    <sheet name="Sheet1" sheetId="1" r:id="rId1"/>
  </sheets>
  <definedNames>
    <definedName name="_xlnm._FilterDatabase" localSheetId="0" hidden="1">Sheet1!$K$7:$O$27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8" i="1" l="1"/>
  <c r="Y49" i="1"/>
  <c r="Y50" i="1"/>
  <c r="Y51" i="1"/>
  <c r="Y52" i="1"/>
  <c r="Y53" i="1"/>
  <c r="Y54" i="1"/>
  <c r="Y55" i="1"/>
  <c r="Y56" i="1"/>
  <c r="Y57" i="1"/>
  <c r="Y58" i="1"/>
  <c r="Y62" i="1"/>
  <c r="Y63" i="1"/>
  <c r="Y64" i="1"/>
  <c r="Y65" i="1"/>
  <c r="Y66" i="1"/>
  <c r="Y67" i="1"/>
  <c r="Y68" i="1"/>
  <c r="Y69" i="1"/>
  <c r="Y70" i="1"/>
  <c r="O63" i="1"/>
  <c r="O53" i="1"/>
  <c r="O54" i="1"/>
  <c r="O51" i="1"/>
  <c r="O46" i="1"/>
  <c r="O48" i="1"/>
  <c r="O57" i="1"/>
  <c r="O47" i="1"/>
  <c r="O49" i="1"/>
  <c r="O58" i="1"/>
  <c r="O61" i="1"/>
  <c r="O55" i="1"/>
  <c r="O52" i="1"/>
  <c r="O60" i="1"/>
  <c r="O59" i="1"/>
  <c r="O56" i="1"/>
  <c r="O62" i="1"/>
  <c r="O64" i="1"/>
  <c r="O65" i="1"/>
  <c r="O50" i="1"/>
  <c r="O15" i="1"/>
  <c r="O16" i="1"/>
  <c r="O13" i="1"/>
  <c r="O8" i="1"/>
  <c r="O10" i="1"/>
  <c r="O19" i="1"/>
  <c r="O9" i="1"/>
  <c r="O11" i="1"/>
  <c r="O20" i="1"/>
  <c r="O23" i="1"/>
  <c r="O17" i="1"/>
  <c r="O14" i="1"/>
  <c r="O22" i="1"/>
  <c r="O21" i="1"/>
  <c r="O18" i="1"/>
  <c r="O25" i="1"/>
  <c r="O24" i="1"/>
  <c r="O26" i="1"/>
  <c r="O27" i="1"/>
  <c r="O12" i="1"/>
  <c r="F59" i="1"/>
  <c r="F60" i="1"/>
  <c r="F57" i="1"/>
  <c r="F52" i="1"/>
  <c r="F54" i="1"/>
  <c r="F63" i="1"/>
  <c r="F53" i="1"/>
  <c r="F55" i="1"/>
  <c r="F64" i="1"/>
  <c r="F67" i="1"/>
  <c r="F61" i="1"/>
  <c r="F58" i="1"/>
  <c r="F66" i="1"/>
  <c r="F65" i="1"/>
  <c r="F62" i="1"/>
  <c r="F69" i="1"/>
  <c r="F68" i="1"/>
  <c r="F70" i="1"/>
  <c r="F71" i="1"/>
  <c r="F56" i="1"/>
</calcChain>
</file>

<file path=xl/sharedStrings.xml><?xml version="1.0" encoding="utf-8"?>
<sst xmlns="http://schemas.openxmlformats.org/spreadsheetml/2006/main" count="170" uniqueCount="24">
  <si>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</si>
  <si>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</si>
  <si>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</si>
  <si>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</si>
  <si>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</si>
  <si>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</si>
  <si>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</si>
  <si>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</si>
  <si>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2. Pengukuran Jarak</t>
  </si>
  <si>
    <t>1. Persiapan Data</t>
  </si>
  <si>
    <t>4. Visualisasi Persebaran Data (BEFORE)</t>
  </si>
  <si>
    <t>Visualisasi Persebaran Data Setelah Menggunakan Model KNN (AFTER)</t>
  </si>
  <si>
    <t>X1 = 6</t>
  </si>
  <si>
    <t>X2 = 5</t>
  </si>
  <si>
    <t>3 - 6 Pemilihan Jumlah Tetangga (K = 5) dan identifikasi tetangga terdekat</t>
  </si>
  <si>
    <t xml:space="preserve">Menggunakan metode jarak Euclidean untuk menentukan jarak antara titik baru ((X1 = 6, X2 = 5)) terhadap setiap titik data.
</t>
  </si>
  <si>
    <t>Data diurutkan berdasarkan nilai jarak dari yang paling kecil ke yang terbesar.</t>
  </si>
  <si>
    <t>Dipilih sebanyak 5 data dengan jarak terdekat sebagai tetangga (nearest neighbors).</t>
  </si>
  <si>
    <t>Dilakukan identifikasi kelas dari masing-masing tetangga terpilih.</t>
  </si>
  <si>
    <t>Penentuan kelas akhir dilakukan berdasarkan mayoritas kelas dari 5 tetangga tersebut.</t>
  </si>
  <si>
    <t>Mayoritas adalah A (3 suara A, 2 suara B)</t>
  </si>
  <si>
    <r>
      <t>Maka titik baru (X1 = 6,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5</t>
    </r>
  </si>
  <si>
    <t>Jarak dari (6,5)</t>
  </si>
  <si>
    <t>Memisahkan data berdasarkan kelas untuk keperluan visualisasi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</si>
</sst>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Sheet1!$V$47:$V$58</c:f>
              <c:strCache>
                <c:ptCount val="12"/>
                <c:pt idx="0">
                  <c:v>X1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  <c:pt idx="8">
                  <c:v>8</c:v>
                </c:pt>
                <c:pt idx="9">
                  <c:v>2</c:v>
                </c:pt>
                <c:pt idx="10">
                  <c:v>1</c:v>
                </c:pt>
                <c:pt idx="11">
                  <c:v>10</c:v>
                </c:pt>
              </c:strCache>
            </c:strRef>
          </c:xVal>
          <c:yVal>
            <c:numRef>
              <c:f>Sheet1!$W$47:$W$58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9</c:v>
                </c:pt>
                <c:pt idx="7">
                  <c:v>2</c:v>
                </c:pt>
                <c:pt idx="8">
                  <c:v>9</c:v>
                </c:pt>
                <c:pt idx="9">
                  <c:v>1</c:v>
                </c:pt>
                <c:pt idx="10">
                  <c:v>1</c:v>
                </c:pt>
                <c:pt idx="11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Sheet1!$V$61:$V$70</c:f>
              <c:strCache>
                <c:ptCount val="10"/>
                <c:pt idx="0">
                  <c:v>X1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9</c:v>
                </c:pt>
              </c:strCache>
            </c:strRef>
          </c:xVal>
          <c:yVal>
            <c:numRef>
              <c:f>Sheet1!$W$61:$W$70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10</c:v>
                </c:pt>
              </c:numCache>
            </c:numRef>
          </c:yVal>
          <c:smooth val="0"/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58976"/>
        <c:axId val="212560896"/>
      </c:scatterChart>
      <c:valAx>
        <c:axId val="21255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896"/>
        <c:crosses val="autoZero"/>
        <c:crossBetween val="midCat"/>
      </c:valAx>
      <c:valAx>
        <c:axId val="2125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5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 5 (AFTER)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Sheet1!$V$47:$V$58</c:f>
              <c:strCache>
                <c:ptCount val="12"/>
                <c:pt idx="0">
                  <c:v>X1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  <c:pt idx="8">
                  <c:v>8</c:v>
                </c:pt>
                <c:pt idx="9">
                  <c:v>2</c:v>
                </c:pt>
                <c:pt idx="10">
                  <c:v>1</c:v>
                </c:pt>
                <c:pt idx="11">
                  <c:v>10</c:v>
                </c:pt>
              </c:strCache>
            </c:strRef>
          </c:xVal>
          <c:yVal>
            <c:numRef>
              <c:f>Sheet1!$W$47:$W$58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9</c:v>
                </c:pt>
                <c:pt idx="7">
                  <c:v>2</c:v>
                </c:pt>
                <c:pt idx="8">
                  <c:v>9</c:v>
                </c:pt>
                <c:pt idx="9">
                  <c:v>1</c:v>
                </c:pt>
                <c:pt idx="10">
                  <c:v>1</c:v>
                </c:pt>
                <c:pt idx="11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Sheet1!$V$61:$V$70</c:f>
              <c:strCache>
                <c:ptCount val="10"/>
                <c:pt idx="0">
                  <c:v>X1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9</c:v>
                </c:pt>
              </c:strCache>
            </c:strRef>
          </c:xVal>
          <c:yVal>
            <c:numRef>
              <c:f>Sheet1!$W$61:$W$70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10</c:v>
                </c:pt>
              </c:numCache>
            </c:numRef>
          </c:yVal>
          <c:smooth val="0"/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07360"/>
        <c:axId val="212609280"/>
      </c:scatterChart>
      <c:valAx>
        <c:axId val="21260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9280"/>
        <c:crosses val="autoZero"/>
        <c:crossBetween val="midCat"/>
      </c:valAx>
      <c:valAx>
        <c:axId val="2126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39220</xdr:rowOff>
    </xdr:from>
    <xdr:to>
      <xdr:col>6</xdr:col>
      <xdr:colOff>403332</xdr:colOff>
      <xdr:row>32</xdr:row>
      <xdr:rowOff>77378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6213661"/>
          <a:ext cx="3428920" cy="419158"/>
        </a:xfrm>
        <a:prstGeom prst="rect">
          <a:avLst/>
        </a:prstGeom>
      </xdr:spPr>
    </xdr:pic>
    <xdr:clientData/>
  </xdr:twoCellAnchor>
  <xdr:twoCellAnchor>
    <xdr:from>
      <xdr:col>18</xdr:col>
      <xdr:colOff>302560</xdr:colOff>
      <xdr:row>26</xdr:row>
      <xdr:rowOff>156883</xdr:rowOff>
    </xdr:from>
    <xdr:to>
      <xdr:col>26</xdr:col>
      <xdr:colOff>274388</xdr:colOff>
      <xdr:row>40</xdr:row>
      <xdr:rowOff>91427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291353</xdr:colOff>
      <xdr:row>67</xdr:row>
      <xdr:rowOff>33619</xdr:rowOff>
    </xdr:from>
    <xdr:to>
      <xdr:col>16</xdr:col>
      <xdr:colOff>587092</xdr:colOff>
      <xdr:row>84</xdr:row>
      <xdr:rowOff>32985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53592</xdr:colOff>
      <xdr:row>72</xdr:row>
      <xdr:rowOff>679</xdr:rowOff>
    </xdr:from>
    <xdr:to>
      <xdr:col>12</xdr:col>
      <xdr:colOff>239708</xdr:colOff>
      <xdr:row>78</xdr:row>
      <xdr:rowOff>80193</xdr:rowOff>
    </xdr:to>
    <xdr:sp macro="" textlink="">
      <xdr:nvSpPr>
        <xdr:cNvPr id="12" name="Freeform 11"/>
        <xdr:cNvSpPr/>
      </xdr:nvSpPr>
      <xdr:spPr>
        <a:xfrm>
          <a:off x="6709886" y="15128620"/>
          <a:ext cx="1127410" cy="122251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71"/>
  <sheetViews>
    <sheetView tabSelected="1" zoomScale="85" zoomScaleNormal="85" workbookViewId="0">
      <selection activeCell="H15" sqref="H15"/>
    </sheetView>
  </sheetViews>
  <sheetFormatPr defaultRowHeight="15" x14ac:dyDescent="0.25"/>
  <cols>
    <col min="12" max="12" width="14.140625" customWidth="1"/>
    <col min="15" max="15" width="9.140625" customWidth="1"/>
    <col min="19" max="19" width="14.140625" customWidth="1"/>
  </cols>
  <sheetData>
    <row r="2" spans="2:24" ht="46.5" x14ac:dyDescent="0.7">
      <c r="J2" s="16" t="s">
        <v>6</v>
      </c>
      <c r="K2" s="16"/>
      <c r="L2" s="16"/>
      <c r="M2" s="16"/>
      <c r="N2" s="16"/>
      <c r="U2" s="14" t="s">
        <v>10</v>
      </c>
      <c r="V2" s="14"/>
      <c r="W2" s="14"/>
      <c r="X2" s="14"/>
    </row>
    <row r="3" spans="2:24" x14ac:dyDescent="0.25">
      <c r="T3" s="1" t="s">
        <v>0</v>
      </c>
      <c r="U3" s="1" t="s">
        <v>1</v>
      </c>
      <c r="V3" s="1" t="s">
        <v>2</v>
      </c>
      <c r="W3" s="1" t="s">
        <v>3</v>
      </c>
    </row>
    <row r="4" spans="2:24" x14ac:dyDescent="0.25">
      <c r="T4" s="2">
        <v>1</v>
      </c>
      <c r="U4" s="2">
        <v>1</v>
      </c>
      <c r="V4" s="2">
        <v>1</v>
      </c>
      <c r="W4" s="2" t="s">
        <v>4</v>
      </c>
    </row>
    <row r="5" spans="2:24" x14ac:dyDescent="0.25">
      <c r="B5" s="3" t="s">
        <v>9</v>
      </c>
      <c r="T5" s="2">
        <v>2</v>
      </c>
      <c r="U5" s="2">
        <v>2</v>
      </c>
      <c r="V5" s="2">
        <v>1</v>
      </c>
      <c r="W5" s="2" t="s">
        <v>4</v>
      </c>
    </row>
    <row r="6" spans="2:24" ht="30" x14ac:dyDescent="0.25">
      <c r="B6" s="1" t="s">
        <v>0</v>
      </c>
      <c r="C6" s="1" t="s">
        <v>1</v>
      </c>
      <c r="D6" s="1" t="s">
        <v>2</v>
      </c>
      <c r="E6" s="1" t="s">
        <v>3</v>
      </c>
      <c r="G6" s="7" t="s">
        <v>7</v>
      </c>
      <c r="T6" s="2">
        <v>3</v>
      </c>
      <c r="U6" s="2">
        <v>3</v>
      </c>
      <c r="V6" s="2">
        <v>2</v>
      </c>
      <c r="W6" s="2" t="s">
        <v>4</v>
      </c>
    </row>
    <row r="7" spans="2:24" ht="30" x14ac:dyDescent="0.25">
      <c r="B7" s="2">
        <v>1</v>
      </c>
      <c r="C7" s="2">
        <v>1</v>
      </c>
      <c r="D7" s="2">
        <v>1</v>
      </c>
      <c r="E7" s="2" t="s">
        <v>4</v>
      </c>
      <c r="G7" s="8" t="s">
        <v>12</v>
      </c>
      <c r="K7" s="1" t="s">
        <v>0</v>
      </c>
      <c r="L7" s="1" t="s">
        <v>1</v>
      </c>
      <c r="M7" s="1" t="s">
        <v>2</v>
      </c>
      <c r="N7" s="1" t="s">
        <v>3</v>
      </c>
      <c r="O7" s="4" t="s">
        <v>22</v>
      </c>
      <c r="T7" s="2">
        <v>4</v>
      </c>
      <c r="U7" s="2">
        <v>4</v>
      </c>
      <c r="V7" s="2">
        <v>2</v>
      </c>
      <c r="W7" s="2" t="s">
        <v>5</v>
      </c>
    </row>
    <row r="8" spans="2:24" x14ac:dyDescent="0.25">
      <c r="B8" s="2">
        <v>2</v>
      </c>
      <c r="C8" s="2">
        <v>2</v>
      </c>
      <c r="D8" s="2">
        <v>1</v>
      </c>
      <c r="E8" s="2" t="s">
        <v>4</v>
      </c>
      <c r="G8" s="8" t="s">
        <v>13</v>
      </c>
      <c r="K8" s="11">
        <v>7</v>
      </c>
      <c r="L8" s="11">
        <v>7</v>
      </c>
      <c r="M8" s="11">
        <v>4</v>
      </c>
      <c r="N8" s="11" t="s">
        <v>4</v>
      </c>
      <c r="O8" s="12">
        <f>SQRT((L8-6)^2+(M8-5)^2)</f>
        <v>1.4142135623730951</v>
      </c>
      <c r="T8" s="2">
        <v>5</v>
      </c>
      <c r="U8" s="2">
        <v>5</v>
      </c>
      <c r="V8" s="2">
        <v>3</v>
      </c>
      <c r="W8" s="2" t="s">
        <v>5</v>
      </c>
    </row>
    <row r="9" spans="2:24" ht="15" customHeight="1" x14ac:dyDescent="0.25">
      <c r="B9" s="2">
        <v>3</v>
      </c>
      <c r="C9" s="2">
        <v>3</v>
      </c>
      <c r="D9" s="2">
        <v>2</v>
      </c>
      <c r="E9" s="2" t="s">
        <v>4</v>
      </c>
      <c r="K9" s="11">
        <v>6</v>
      </c>
      <c r="L9" s="11">
        <v>6</v>
      </c>
      <c r="M9" s="11">
        <v>3</v>
      </c>
      <c r="N9" s="11" t="s">
        <v>5</v>
      </c>
      <c r="O9" s="12">
        <f>SQRT((L9-6)^2+(M9-5)^2)</f>
        <v>2</v>
      </c>
      <c r="T9" s="2">
        <v>6</v>
      </c>
      <c r="U9" s="2">
        <v>6</v>
      </c>
      <c r="V9" s="2">
        <v>3</v>
      </c>
      <c r="W9" s="2" t="s">
        <v>5</v>
      </c>
    </row>
    <row r="10" spans="2:24" x14ac:dyDescent="0.25">
      <c r="B10" s="2">
        <v>4</v>
      </c>
      <c r="C10" s="2">
        <v>4</v>
      </c>
      <c r="D10" s="2">
        <v>2</v>
      </c>
      <c r="E10" s="2" t="s">
        <v>5</v>
      </c>
      <c r="K10" s="11">
        <v>5</v>
      </c>
      <c r="L10" s="11">
        <v>5</v>
      </c>
      <c r="M10" s="11">
        <v>3</v>
      </c>
      <c r="N10" s="11" t="s">
        <v>5</v>
      </c>
      <c r="O10" s="12">
        <f>SQRT((L10-6)^2+(M10-5)^2)</f>
        <v>2.2360679774997898</v>
      </c>
      <c r="T10" s="2">
        <v>7</v>
      </c>
      <c r="U10" s="2">
        <v>7</v>
      </c>
      <c r="V10" s="2">
        <v>4</v>
      </c>
      <c r="W10" s="2" t="s">
        <v>4</v>
      </c>
    </row>
    <row r="11" spans="2:24" x14ac:dyDescent="0.25">
      <c r="B11" s="2">
        <v>5</v>
      </c>
      <c r="C11" s="2">
        <v>5</v>
      </c>
      <c r="D11" s="2">
        <v>3</v>
      </c>
      <c r="E11" s="2" t="s">
        <v>5</v>
      </c>
      <c r="K11" s="11">
        <v>8</v>
      </c>
      <c r="L11" s="11">
        <v>8</v>
      </c>
      <c r="M11" s="11">
        <v>4</v>
      </c>
      <c r="N11" s="11" t="s">
        <v>4</v>
      </c>
      <c r="O11" s="12">
        <f>SQRT((L11-6)^2+(M11-5)^2)</f>
        <v>2.2360679774997898</v>
      </c>
      <c r="T11" s="2">
        <v>8</v>
      </c>
      <c r="U11" s="2">
        <v>8</v>
      </c>
      <c r="V11" s="2">
        <v>4</v>
      </c>
      <c r="W11" s="2" t="s">
        <v>4</v>
      </c>
    </row>
    <row r="12" spans="2:24" ht="15" customHeight="1" x14ac:dyDescent="0.25">
      <c r="B12" s="2">
        <v>6</v>
      </c>
      <c r="C12" s="2">
        <v>6</v>
      </c>
      <c r="D12" s="2">
        <v>3</v>
      </c>
      <c r="E12" s="2" t="s">
        <v>5</v>
      </c>
      <c r="H12" s="5"/>
      <c r="K12" s="11">
        <v>14</v>
      </c>
      <c r="L12" s="11">
        <v>4</v>
      </c>
      <c r="M12" s="11">
        <v>7</v>
      </c>
      <c r="N12" s="11" t="s">
        <v>4</v>
      </c>
      <c r="O12" s="12">
        <f>SQRT((L12-6)^2+(M12-5)^2)</f>
        <v>2.8284271247461903</v>
      </c>
      <c r="T12" s="2">
        <v>9</v>
      </c>
      <c r="U12" s="2">
        <v>9</v>
      </c>
      <c r="V12" s="2">
        <v>5</v>
      </c>
      <c r="W12" s="2" t="s">
        <v>5</v>
      </c>
    </row>
    <row r="13" spans="2:24" x14ac:dyDescent="0.25">
      <c r="B13" s="2">
        <v>7</v>
      </c>
      <c r="C13" s="2">
        <v>7</v>
      </c>
      <c r="D13" s="2">
        <v>4</v>
      </c>
      <c r="E13" s="2" t="s">
        <v>4</v>
      </c>
      <c r="K13" s="9">
        <v>16</v>
      </c>
      <c r="L13" s="9">
        <v>6</v>
      </c>
      <c r="M13" s="9">
        <v>8</v>
      </c>
      <c r="N13" s="9" t="s">
        <v>5</v>
      </c>
      <c r="O13" s="10">
        <f>SQRT((L13-6)^2+(M13-5)^2)</f>
        <v>3</v>
      </c>
      <c r="T13" s="2">
        <v>10</v>
      </c>
      <c r="U13" s="2">
        <v>10</v>
      </c>
      <c r="V13" s="2">
        <v>5</v>
      </c>
      <c r="W13" s="2" t="s">
        <v>4</v>
      </c>
    </row>
    <row r="14" spans="2:24" x14ac:dyDescent="0.25">
      <c r="B14" s="2">
        <v>8</v>
      </c>
      <c r="C14" s="2">
        <v>8</v>
      </c>
      <c r="D14" s="2">
        <v>4</v>
      </c>
      <c r="E14" s="2" t="s">
        <v>4</v>
      </c>
      <c r="K14" s="9">
        <v>9</v>
      </c>
      <c r="L14" s="9">
        <v>9</v>
      </c>
      <c r="M14" s="9">
        <v>5</v>
      </c>
      <c r="N14" s="9" t="s">
        <v>5</v>
      </c>
      <c r="O14" s="10">
        <f>SQRT((L14-6)^2+(M14-5)^2)</f>
        <v>3</v>
      </c>
      <c r="T14" s="2">
        <v>11</v>
      </c>
      <c r="U14" s="2">
        <v>1</v>
      </c>
      <c r="V14" s="2">
        <v>6</v>
      </c>
      <c r="W14" s="2" t="s">
        <v>5</v>
      </c>
    </row>
    <row r="15" spans="2:24" x14ac:dyDescent="0.25">
      <c r="B15" s="2">
        <v>9</v>
      </c>
      <c r="C15" s="2">
        <v>9</v>
      </c>
      <c r="D15" s="2">
        <v>5</v>
      </c>
      <c r="E15" s="2" t="s">
        <v>5</v>
      </c>
      <c r="K15" s="9">
        <v>15</v>
      </c>
      <c r="L15" s="9">
        <v>5</v>
      </c>
      <c r="M15" s="9">
        <v>8</v>
      </c>
      <c r="N15" s="9" t="s">
        <v>5</v>
      </c>
      <c r="O15" s="10">
        <f>SQRT((L15-6)^2+(M15-5)^2)</f>
        <v>3.1622776601683795</v>
      </c>
      <c r="T15" s="2">
        <v>12</v>
      </c>
      <c r="U15" s="2">
        <v>2</v>
      </c>
      <c r="V15" s="2">
        <v>6</v>
      </c>
      <c r="W15" s="2" t="s">
        <v>5</v>
      </c>
    </row>
    <row r="16" spans="2:24" ht="19.5" customHeight="1" x14ac:dyDescent="0.25">
      <c r="B16" s="2">
        <v>10</v>
      </c>
      <c r="C16" s="2">
        <v>10</v>
      </c>
      <c r="D16" s="2">
        <v>5</v>
      </c>
      <c r="E16" s="2" t="s">
        <v>4</v>
      </c>
      <c r="K16" s="9">
        <v>13</v>
      </c>
      <c r="L16" s="9">
        <v>3</v>
      </c>
      <c r="M16" s="9">
        <v>7</v>
      </c>
      <c r="N16" s="9" t="s">
        <v>4</v>
      </c>
      <c r="O16" s="10">
        <f>SQRT((L16-6)^2+(M16-5)^2)</f>
        <v>3.6055512754639891</v>
      </c>
      <c r="T16" s="2">
        <v>13</v>
      </c>
      <c r="U16" s="2">
        <v>3</v>
      </c>
      <c r="V16" s="2">
        <v>7</v>
      </c>
      <c r="W16" s="2" t="s">
        <v>4</v>
      </c>
    </row>
    <row r="17" spans="2:23" x14ac:dyDescent="0.25">
      <c r="B17" s="2">
        <v>11</v>
      </c>
      <c r="C17" s="2">
        <v>1</v>
      </c>
      <c r="D17" s="2">
        <v>6</v>
      </c>
      <c r="E17" s="2" t="s">
        <v>5</v>
      </c>
      <c r="K17" s="9">
        <v>4</v>
      </c>
      <c r="L17" s="9">
        <v>4</v>
      </c>
      <c r="M17" s="9">
        <v>2</v>
      </c>
      <c r="N17" s="9" t="s">
        <v>5</v>
      </c>
      <c r="O17" s="10">
        <f>SQRT((L17-6)^2+(M17-5)^2)</f>
        <v>3.6055512754639891</v>
      </c>
      <c r="T17" s="2">
        <v>14</v>
      </c>
      <c r="U17" s="2">
        <v>4</v>
      </c>
      <c r="V17" s="2">
        <v>7</v>
      </c>
      <c r="W17" s="2" t="s">
        <v>4</v>
      </c>
    </row>
    <row r="18" spans="2:23" x14ac:dyDescent="0.25">
      <c r="B18" s="2">
        <v>12</v>
      </c>
      <c r="C18" s="2">
        <v>2</v>
      </c>
      <c r="D18" s="2">
        <v>6</v>
      </c>
      <c r="E18" s="2" t="s">
        <v>5</v>
      </c>
      <c r="K18" s="9">
        <v>10</v>
      </c>
      <c r="L18" s="9">
        <v>10</v>
      </c>
      <c r="M18" s="9">
        <v>5</v>
      </c>
      <c r="N18" s="9" t="s">
        <v>4</v>
      </c>
      <c r="O18" s="10">
        <f>SQRT((L18-6)^2+(M18-5)^2)</f>
        <v>4</v>
      </c>
      <c r="T18" s="2">
        <v>15</v>
      </c>
      <c r="U18" s="2">
        <v>5</v>
      </c>
      <c r="V18" s="2">
        <v>8</v>
      </c>
      <c r="W18" s="2" t="s">
        <v>5</v>
      </c>
    </row>
    <row r="19" spans="2:23" x14ac:dyDescent="0.25">
      <c r="B19" s="2">
        <v>13</v>
      </c>
      <c r="C19" s="2">
        <v>3</v>
      </c>
      <c r="D19" s="2">
        <v>7</v>
      </c>
      <c r="E19" s="2" t="s">
        <v>4</v>
      </c>
      <c r="K19" s="9">
        <v>12</v>
      </c>
      <c r="L19" s="9">
        <v>2</v>
      </c>
      <c r="M19" s="9">
        <v>6</v>
      </c>
      <c r="N19" s="9" t="s">
        <v>5</v>
      </c>
      <c r="O19" s="10">
        <f>SQRT((L19-6)^2+(M19-5)^2)</f>
        <v>4.1231056256176606</v>
      </c>
      <c r="T19" s="2">
        <v>16</v>
      </c>
      <c r="U19" s="2">
        <v>6</v>
      </c>
      <c r="V19" s="2">
        <v>8</v>
      </c>
      <c r="W19" s="2" t="s">
        <v>5</v>
      </c>
    </row>
    <row r="20" spans="2:23" x14ac:dyDescent="0.25">
      <c r="B20" s="2">
        <v>14</v>
      </c>
      <c r="C20" s="2">
        <v>4</v>
      </c>
      <c r="D20" s="2">
        <v>7</v>
      </c>
      <c r="E20" s="2" t="s">
        <v>4</v>
      </c>
      <c r="K20" s="9">
        <v>17</v>
      </c>
      <c r="L20" s="9">
        <v>7</v>
      </c>
      <c r="M20" s="9">
        <v>9</v>
      </c>
      <c r="N20" s="9" t="s">
        <v>4</v>
      </c>
      <c r="O20" s="10">
        <f>SQRT((L20-6)^2+(M20-5)^2)</f>
        <v>4.1231056256176606</v>
      </c>
      <c r="T20" s="2">
        <v>17</v>
      </c>
      <c r="U20" s="2">
        <v>7</v>
      </c>
      <c r="V20" s="2">
        <v>9</v>
      </c>
      <c r="W20" s="2" t="s">
        <v>4</v>
      </c>
    </row>
    <row r="21" spans="2:23" x14ac:dyDescent="0.25">
      <c r="B21" s="2">
        <v>15</v>
      </c>
      <c r="C21" s="2">
        <v>5</v>
      </c>
      <c r="D21" s="2">
        <v>8</v>
      </c>
      <c r="E21" s="2" t="s">
        <v>5</v>
      </c>
      <c r="K21" s="9">
        <v>3</v>
      </c>
      <c r="L21" s="9">
        <v>3</v>
      </c>
      <c r="M21" s="9">
        <v>2</v>
      </c>
      <c r="N21" s="9" t="s">
        <v>4</v>
      </c>
      <c r="O21" s="10">
        <f>SQRT((L21-6)^2+(M21-5)^2)</f>
        <v>4.2426406871192848</v>
      </c>
      <c r="T21" s="2">
        <v>18</v>
      </c>
      <c r="U21" s="2">
        <v>8</v>
      </c>
      <c r="V21" s="2">
        <v>9</v>
      </c>
      <c r="W21" s="2" t="s">
        <v>4</v>
      </c>
    </row>
    <row r="22" spans="2:23" x14ac:dyDescent="0.25">
      <c r="B22" s="2">
        <v>16</v>
      </c>
      <c r="C22" s="2">
        <v>6</v>
      </c>
      <c r="D22" s="2">
        <v>8</v>
      </c>
      <c r="E22" s="2" t="s">
        <v>5</v>
      </c>
      <c r="K22" s="9">
        <v>18</v>
      </c>
      <c r="L22" s="9">
        <v>8</v>
      </c>
      <c r="M22" s="9">
        <v>9</v>
      </c>
      <c r="N22" s="9" t="s">
        <v>4</v>
      </c>
      <c r="O22" s="10">
        <f>SQRT((L22-6)^2+(M22-5)^2)</f>
        <v>4.4721359549995796</v>
      </c>
      <c r="T22" s="2">
        <v>19</v>
      </c>
      <c r="U22" s="2">
        <v>9</v>
      </c>
      <c r="V22" s="2">
        <v>10</v>
      </c>
      <c r="W22" s="2" t="s">
        <v>5</v>
      </c>
    </row>
    <row r="23" spans="2:23" x14ac:dyDescent="0.25">
      <c r="B23" s="2">
        <v>17</v>
      </c>
      <c r="C23" s="2">
        <v>7</v>
      </c>
      <c r="D23" s="2">
        <v>9</v>
      </c>
      <c r="E23" s="2" t="s">
        <v>4</v>
      </c>
      <c r="K23" s="9">
        <v>11</v>
      </c>
      <c r="L23" s="9">
        <v>1</v>
      </c>
      <c r="M23" s="9">
        <v>6</v>
      </c>
      <c r="N23" s="9" t="s">
        <v>5</v>
      </c>
      <c r="O23" s="10">
        <f>SQRT((L23-6)^2+(M23-5)^2)</f>
        <v>5.0990195135927845</v>
      </c>
      <c r="T23" s="2">
        <v>20</v>
      </c>
      <c r="U23" s="2">
        <v>10</v>
      </c>
      <c r="V23" s="2">
        <v>10</v>
      </c>
      <c r="W23" s="2" t="s">
        <v>4</v>
      </c>
    </row>
    <row r="24" spans="2:23" x14ac:dyDescent="0.25">
      <c r="B24" s="2">
        <v>18</v>
      </c>
      <c r="C24" s="2">
        <v>8</v>
      </c>
      <c r="D24" s="2">
        <v>9</v>
      </c>
      <c r="E24" s="2" t="s">
        <v>4</v>
      </c>
      <c r="K24" s="9">
        <v>2</v>
      </c>
      <c r="L24" s="9">
        <v>2</v>
      </c>
      <c r="M24" s="9">
        <v>1</v>
      </c>
      <c r="N24" s="9" t="s">
        <v>4</v>
      </c>
      <c r="O24" s="10">
        <f>SQRT((L24-6)^2+(M24-5)^2)</f>
        <v>5.6568542494923806</v>
      </c>
    </row>
    <row r="25" spans="2:23" x14ac:dyDescent="0.25">
      <c r="B25" s="2">
        <v>19</v>
      </c>
      <c r="C25" s="2">
        <v>9</v>
      </c>
      <c r="D25" s="2">
        <v>10</v>
      </c>
      <c r="E25" s="2" t="s">
        <v>5</v>
      </c>
      <c r="K25" s="9">
        <v>19</v>
      </c>
      <c r="L25" s="9">
        <v>9</v>
      </c>
      <c r="M25" s="9">
        <v>10</v>
      </c>
      <c r="N25" s="9" t="s">
        <v>5</v>
      </c>
      <c r="O25" s="10">
        <f>SQRT((L25-6)^2+(M25-5)^2)</f>
        <v>5.8309518948453007</v>
      </c>
      <c r="S25" s="15" t="s">
        <v>11</v>
      </c>
      <c r="T25" s="15"/>
      <c r="U25" s="15"/>
      <c r="V25" s="15"/>
    </row>
    <row r="26" spans="2:23" ht="15" customHeight="1" x14ac:dyDescent="0.25">
      <c r="B26" s="2">
        <v>20</v>
      </c>
      <c r="C26" s="2">
        <v>10</v>
      </c>
      <c r="D26" s="2">
        <v>10</v>
      </c>
      <c r="E26" s="2" t="s">
        <v>4</v>
      </c>
      <c r="K26" s="9">
        <v>1</v>
      </c>
      <c r="L26" s="9">
        <v>1</v>
      </c>
      <c r="M26" s="9">
        <v>1</v>
      </c>
      <c r="N26" s="9" t="s">
        <v>4</v>
      </c>
      <c r="O26" s="10">
        <f>SQRT((L26-6)^2+(M26-5)^2)</f>
        <v>6.4031242374328485</v>
      </c>
      <c r="S26" s="15"/>
      <c r="T26" s="15"/>
      <c r="U26" s="15"/>
      <c r="V26" s="15"/>
    </row>
    <row r="27" spans="2:23" x14ac:dyDescent="0.25">
      <c r="K27" s="9">
        <v>20</v>
      </c>
      <c r="L27" s="9">
        <v>10</v>
      </c>
      <c r="M27" s="9">
        <v>10</v>
      </c>
      <c r="N27" s="9" t="s">
        <v>4</v>
      </c>
      <c r="O27" s="10">
        <f>SQRT((L27-6)^2+(M27-5)^2)</f>
        <v>6.4031242374328485</v>
      </c>
    </row>
    <row r="28" spans="2:23" x14ac:dyDescent="0.25">
      <c r="B28" s="14" t="s">
        <v>8</v>
      </c>
      <c r="C28" s="14"/>
    </row>
    <row r="29" spans="2:23" x14ac:dyDescent="0.25">
      <c r="B29" s="13" t="s">
        <v>15</v>
      </c>
      <c r="C29" s="13"/>
      <c r="D29" s="13"/>
      <c r="E29" s="13"/>
      <c r="F29" s="13"/>
      <c r="G29" s="13"/>
    </row>
    <row r="30" spans="2:23" x14ac:dyDescent="0.25">
      <c r="B30" s="13"/>
      <c r="C30" s="13"/>
      <c r="D30" s="13"/>
      <c r="E30" s="13"/>
      <c r="F30" s="13"/>
      <c r="G30" s="13"/>
      <c r="K30" t="s">
        <v>20</v>
      </c>
    </row>
    <row r="31" spans="2:23" x14ac:dyDescent="0.25">
      <c r="K31" s="13" t="s">
        <v>21</v>
      </c>
      <c r="L31" s="13"/>
      <c r="M31" s="13"/>
      <c r="N31" s="13"/>
      <c r="O31" s="13"/>
      <c r="P31" s="13"/>
    </row>
    <row r="32" spans="2:23" x14ac:dyDescent="0.25">
      <c r="K32" s="13"/>
      <c r="L32" s="13"/>
      <c r="M32" s="13"/>
      <c r="N32" s="13"/>
      <c r="O32" s="13"/>
      <c r="P32" s="13"/>
    </row>
    <row r="44" spans="1:25" x14ac:dyDescent="0.25">
      <c r="B44" s="17" t="s">
        <v>14</v>
      </c>
      <c r="C44" s="17"/>
      <c r="D44" s="17"/>
      <c r="E44" s="17"/>
      <c r="F44" s="17"/>
    </row>
    <row r="45" spans="1:25" ht="30" x14ac:dyDescent="0.25">
      <c r="B45" s="17"/>
      <c r="C45" s="17"/>
      <c r="D45" s="17"/>
      <c r="E45" s="17"/>
      <c r="F45" s="17"/>
      <c r="K45" s="1" t="s">
        <v>0</v>
      </c>
      <c r="L45" s="1" t="s">
        <v>1</v>
      </c>
      <c r="M45" s="1" t="s">
        <v>2</v>
      </c>
      <c r="N45" s="1" t="s">
        <v>3</v>
      </c>
      <c r="O45" s="4" t="s">
        <v>22</v>
      </c>
      <c r="T45" t="s">
        <v>23</v>
      </c>
    </row>
    <row r="46" spans="1:25" x14ac:dyDescent="0.25">
      <c r="A46" t="s">
        <v>16</v>
      </c>
      <c r="K46" s="11">
        <v>7</v>
      </c>
      <c r="L46" s="11">
        <v>7</v>
      </c>
      <c r="M46" s="11">
        <v>4</v>
      </c>
      <c r="N46" s="11" t="s">
        <v>4</v>
      </c>
      <c r="O46" s="12">
        <f>SQRT((L46-6)^2+(M46-5)^2)</f>
        <v>1.4142135623730951</v>
      </c>
    </row>
    <row r="47" spans="1:25" ht="30" x14ac:dyDescent="0.25">
      <c r="A47" t="s">
        <v>17</v>
      </c>
      <c r="K47" s="11">
        <v>6</v>
      </c>
      <c r="L47" s="11">
        <v>6</v>
      </c>
      <c r="M47" s="11">
        <v>3</v>
      </c>
      <c r="N47" s="11" t="s">
        <v>5</v>
      </c>
      <c r="O47" s="12">
        <f>SQRT((L47-6)^2+(M47-5)^2)</f>
        <v>2</v>
      </c>
      <c r="U47" s="1" t="s">
        <v>0</v>
      </c>
      <c r="V47" s="1" t="s">
        <v>1</v>
      </c>
      <c r="W47" s="1" t="s">
        <v>2</v>
      </c>
      <c r="X47" s="1" t="s">
        <v>3</v>
      </c>
      <c r="Y47" s="4" t="s">
        <v>22</v>
      </c>
    </row>
    <row r="48" spans="1:25" x14ac:dyDescent="0.25">
      <c r="A48" t="s">
        <v>18</v>
      </c>
      <c r="K48" s="11">
        <v>5</v>
      </c>
      <c r="L48" s="11">
        <v>5</v>
      </c>
      <c r="M48" s="11">
        <v>3</v>
      </c>
      <c r="N48" s="11" t="s">
        <v>5</v>
      </c>
      <c r="O48" s="12">
        <f>SQRT((L48-6)^2+(M48-5)^2)</f>
        <v>2.2360679774997898</v>
      </c>
      <c r="U48" s="11">
        <v>7</v>
      </c>
      <c r="V48" s="11">
        <v>7</v>
      </c>
      <c r="W48" s="11">
        <v>4</v>
      </c>
      <c r="X48" s="11" t="s">
        <v>4</v>
      </c>
      <c r="Y48" s="12">
        <f>SQRT((V48-6)^2+(W48-5)^2)</f>
        <v>1.4142135623730951</v>
      </c>
    </row>
    <row r="49" spans="1:25" x14ac:dyDescent="0.25">
      <c r="A49" t="s">
        <v>19</v>
      </c>
      <c r="K49" s="11">
        <v>8</v>
      </c>
      <c r="L49" s="11">
        <v>8</v>
      </c>
      <c r="M49" s="11">
        <v>4</v>
      </c>
      <c r="N49" s="11" t="s">
        <v>4</v>
      </c>
      <c r="O49" s="12">
        <f>SQRT((L49-6)^2+(M49-5)^2)</f>
        <v>2.2360679774997898</v>
      </c>
      <c r="U49" s="11">
        <v>8</v>
      </c>
      <c r="V49" s="11">
        <v>8</v>
      </c>
      <c r="W49" s="11">
        <v>4</v>
      </c>
      <c r="X49" s="11" t="s">
        <v>4</v>
      </c>
      <c r="Y49" s="12">
        <f>SQRT((V49-6)^2+(W49-5)^2)</f>
        <v>2.2360679774997898</v>
      </c>
    </row>
    <row r="50" spans="1:25" x14ac:dyDescent="0.25">
      <c r="K50" s="11">
        <v>14</v>
      </c>
      <c r="L50" s="11">
        <v>4</v>
      </c>
      <c r="M50" s="11">
        <v>7</v>
      </c>
      <c r="N50" s="11" t="s">
        <v>4</v>
      </c>
      <c r="O50" s="12">
        <f>SQRT((L50-6)^2+(M50-5)^2)</f>
        <v>2.8284271247461903</v>
      </c>
      <c r="U50" s="11">
        <v>14</v>
      </c>
      <c r="V50" s="11">
        <v>4</v>
      </c>
      <c r="W50" s="11">
        <v>7</v>
      </c>
      <c r="X50" s="11" t="s">
        <v>4</v>
      </c>
      <c r="Y50" s="12">
        <f>SQRT((V50-6)^2+(W50-5)^2)</f>
        <v>2.8284271247461903</v>
      </c>
    </row>
    <row r="51" spans="1:25" ht="30" x14ac:dyDescent="0.25">
      <c r="B51" s="1" t="s">
        <v>0</v>
      </c>
      <c r="C51" s="1" t="s">
        <v>1</v>
      </c>
      <c r="D51" s="1" t="s">
        <v>2</v>
      </c>
      <c r="E51" s="1" t="s">
        <v>3</v>
      </c>
      <c r="F51" s="4" t="s">
        <v>22</v>
      </c>
      <c r="K51" s="9">
        <v>16</v>
      </c>
      <c r="L51" s="9">
        <v>6</v>
      </c>
      <c r="M51" s="9">
        <v>8</v>
      </c>
      <c r="N51" s="9" t="s">
        <v>5</v>
      </c>
      <c r="O51" s="10">
        <f>SQRT((L51-6)^2+(M51-5)^2)</f>
        <v>3</v>
      </c>
      <c r="U51" s="9">
        <v>13</v>
      </c>
      <c r="V51" s="9">
        <v>3</v>
      </c>
      <c r="W51" s="9">
        <v>7</v>
      </c>
      <c r="X51" s="9" t="s">
        <v>4</v>
      </c>
      <c r="Y51" s="10">
        <f>SQRT((V51-6)^2+(W51-5)^2)</f>
        <v>3.6055512754639891</v>
      </c>
    </row>
    <row r="52" spans="1:25" x14ac:dyDescent="0.25">
      <c r="B52" s="2">
        <v>7</v>
      </c>
      <c r="C52" s="2">
        <v>7</v>
      </c>
      <c r="D52" s="2">
        <v>4</v>
      </c>
      <c r="E52" s="2" t="s">
        <v>4</v>
      </c>
      <c r="F52" s="6">
        <f>SQRT((C52-6)^2+(D52-5)^2)</f>
        <v>1.4142135623730951</v>
      </c>
      <c r="K52" s="9">
        <v>9</v>
      </c>
      <c r="L52" s="9">
        <v>9</v>
      </c>
      <c r="M52" s="9">
        <v>5</v>
      </c>
      <c r="N52" s="9" t="s">
        <v>5</v>
      </c>
      <c r="O52" s="10">
        <f>SQRT((L52-6)^2+(M52-5)^2)</f>
        <v>3</v>
      </c>
      <c r="U52" s="9">
        <v>10</v>
      </c>
      <c r="V52" s="9">
        <v>10</v>
      </c>
      <c r="W52" s="9">
        <v>5</v>
      </c>
      <c r="X52" s="9" t="s">
        <v>4</v>
      </c>
      <c r="Y52" s="10">
        <f>SQRT((V52-6)^2+(W52-5)^2)</f>
        <v>4</v>
      </c>
    </row>
    <row r="53" spans="1:25" x14ac:dyDescent="0.25">
      <c r="B53" s="2">
        <v>6</v>
      </c>
      <c r="C53" s="2">
        <v>6</v>
      </c>
      <c r="D53" s="2">
        <v>3</v>
      </c>
      <c r="E53" s="2" t="s">
        <v>5</v>
      </c>
      <c r="F53" s="6">
        <f>SQRT((C53-6)^2+(D53-5)^2)</f>
        <v>2</v>
      </c>
      <c r="K53" s="9">
        <v>15</v>
      </c>
      <c r="L53" s="9">
        <v>5</v>
      </c>
      <c r="M53" s="9">
        <v>8</v>
      </c>
      <c r="N53" s="9" t="s">
        <v>5</v>
      </c>
      <c r="O53" s="10">
        <f>SQRT((L53-6)^2+(M53-5)^2)</f>
        <v>3.1622776601683795</v>
      </c>
      <c r="U53" s="9">
        <v>17</v>
      </c>
      <c r="V53" s="9">
        <v>7</v>
      </c>
      <c r="W53" s="9">
        <v>9</v>
      </c>
      <c r="X53" s="9" t="s">
        <v>4</v>
      </c>
      <c r="Y53" s="10">
        <f>SQRT((V53-6)^2+(W53-5)^2)</f>
        <v>4.1231056256176606</v>
      </c>
    </row>
    <row r="54" spans="1:25" x14ac:dyDescent="0.25">
      <c r="B54" s="2">
        <v>5</v>
      </c>
      <c r="C54" s="2">
        <v>5</v>
      </c>
      <c r="D54" s="2">
        <v>3</v>
      </c>
      <c r="E54" s="2" t="s">
        <v>5</v>
      </c>
      <c r="F54" s="6">
        <f>SQRT((C54-6)^2+(D54-5)^2)</f>
        <v>2.2360679774997898</v>
      </c>
      <c r="K54" s="9">
        <v>13</v>
      </c>
      <c r="L54" s="9">
        <v>3</v>
      </c>
      <c r="M54" s="9">
        <v>7</v>
      </c>
      <c r="N54" s="9" t="s">
        <v>4</v>
      </c>
      <c r="O54" s="10">
        <f>SQRT((L54-6)^2+(M54-5)^2)</f>
        <v>3.6055512754639891</v>
      </c>
      <c r="U54" s="9">
        <v>3</v>
      </c>
      <c r="V54" s="9">
        <v>3</v>
      </c>
      <c r="W54" s="9">
        <v>2</v>
      </c>
      <c r="X54" s="9" t="s">
        <v>4</v>
      </c>
      <c r="Y54" s="10">
        <f>SQRT((V54-6)^2+(W54-5)^2)</f>
        <v>4.2426406871192848</v>
      </c>
    </row>
    <row r="55" spans="1:25" x14ac:dyDescent="0.25">
      <c r="B55" s="2">
        <v>8</v>
      </c>
      <c r="C55" s="2">
        <v>8</v>
      </c>
      <c r="D55" s="2">
        <v>4</v>
      </c>
      <c r="E55" s="2" t="s">
        <v>4</v>
      </c>
      <c r="F55" s="6">
        <f>SQRT((C55-6)^2+(D55-5)^2)</f>
        <v>2.2360679774997898</v>
      </c>
      <c r="K55" s="9">
        <v>4</v>
      </c>
      <c r="L55" s="9">
        <v>4</v>
      </c>
      <c r="M55" s="9">
        <v>2</v>
      </c>
      <c r="N55" s="9" t="s">
        <v>5</v>
      </c>
      <c r="O55" s="10">
        <f>SQRT((L55-6)^2+(M55-5)^2)</f>
        <v>3.6055512754639891</v>
      </c>
      <c r="U55" s="9">
        <v>18</v>
      </c>
      <c r="V55" s="9">
        <v>8</v>
      </c>
      <c r="W55" s="9">
        <v>9</v>
      </c>
      <c r="X55" s="9" t="s">
        <v>4</v>
      </c>
      <c r="Y55" s="10">
        <f>SQRT((V55-6)^2+(W55-5)^2)</f>
        <v>4.4721359549995796</v>
      </c>
    </row>
    <row r="56" spans="1:25" x14ac:dyDescent="0.25">
      <c r="B56" s="2">
        <v>14</v>
      </c>
      <c r="C56" s="2">
        <v>4</v>
      </c>
      <c r="D56" s="2">
        <v>7</v>
      </c>
      <c r="E56" s="2" t="s">
        <v>4</v>
      </c>
      <c r="F56" s="6">
        <f>SQRT((C56-6)^2+(D56-5)^2)</f>
        <v>2.8284271247461903</v>
      </c>
      <c r="K56" s="9">
        <v>10</v>
      </c>
      <c r="L56" s="9">
        <v>10</v>
      </c>
      <c r="M56" s="9">
        <v>5</v>
      </c>
      <c r="N56" s="9" t="s">
        <v>4</v>
      </c>
      <c r="O56" s="10">
        <f>SQRT((L56-6)^2+(M56-5)^2)</f>
        <v>4</v>
      </c>
      <c r="U56" s="9">
        <v>2</v>
      </c>
      <c r="V56" s="9">
        <v>2</v>
      </c>
      <c r="W56" s="9">
        <v>1</v>
      </c>
      <c r="X56" s="9" t="s">
        <v>4</v>
      </c>
      <c r="Y56" s="10">
        <f>SQRT((V56-6)^2+(W56-5)^2)</f>
        <v>5.6568542494923806</v>
      </c>
    </row>
    <row r="57" spans="1:25" x14ac:dyDescent="0.25">
      <c r="B57" s="2">
        <v>16</v>
      </c>
      <c r="C57" s="2">
        <v>6</v>
      </c>
      <c r="D57" s="2">
        <v>8</v>
      </c>
      <c r="E57" s="2" t="s">
        <v>5</v>
      </c>
      <c r="F57" s="6">
        <f>SQRT((C57-6)^2+(D57-5)^2)</f>
        <v>3</v>
      </c>
      <c r="K57" s="9">
        <v>12</v>
      </c>
      <c r="L57" s="9">
        <v>2</v>
      </c>
      <c r="M57" s="9">
        <v>6</v>
      </c>
      <c r="N57" s="9" t="s">
        <v>5</v>
      </c>
      <c r="O57" s="10">
        <f>SQRT((L57-6)^2+(M57-5)^2)</f>
        <v>4.1231056256176606</v>
      </c>
      <c r="U57" s="9">
        <v>1</v>
      </c>
      <c r="V57" s="9">
        <v>1</v>
      </c>
      <c r="W57" s="9">
        <v>1</v>
      </c>
      <c r="X57" s="9" t="s">
        <v>4</v>
      </c>
      <c r="Y57" s="10">
        <f>SQRT((V57-6)^2+(W57-5)^2)</f>
        <v>6.4031242374328485</v>
      </c>
    </row>
    <row r="58" spans="1:25" x14ac:dyDescent="0.25">
      <c r="B58" s="2">
        <v>9</v>
      </c>
      <c r="C58" s="2">
        <v>9</v>
      </c>
      <c r="D58" s="2">
        <v>5</v>
      </c>
      <c r="E58" s="2" t="s">
        <v>5</v>
      </c>
      <c r="F58" s="6">
        <f>SQRT((C58-6)^2+(D58-5)^2)</f>
        <v>3</v>
      </c>
      <c r="K58" s="9">
        <v>17</v>
      </c>
      <c r="L58" s="9">
        <v>7</v>
      </c>
      <c r="M58" s="9">
        <v>9</v>
      </c>
      <c r="N58" s="9" t="s">
        <v>4</v>
      </c>
      <c r="O58" s="10">
        <f>SQRT((L58-6)^2+(M58-5)^2)</f>
        <v>4.1231056256176606</v>
      </c>
      <c r="U58" s="9">
        <v>20</v>
      </c>
      <c r="V58" s="9">
        <v>10</v>
      </c>
      <c r="W58" s="9">
        <v>10</v>
      </c>
      <c r="X58" s="9" t="s">
        <v>4</v>
      </c>
      <c r="Y58" s="10">
        <f>SQRT((V58-6)^2+(W58-5)^2)</f>
        <v>6.4031242374328485</v>
      </c>
    </row>
    <row r="59" spans="1:25" x14ac:dyDescent="0.25">
      <c r="B59" s="2">
        <v>15</v>
      </c>
      <c r="C59" s="2">
        <v>5</v>
      </c>
      <c r="D59" s="2">
        <v>8</v>
      </c>
      <c r="E59" s="2" t="s">
        <v>5</v>
      </c>
      <c r="F59" s="6">
        <f>SQRT((C59-6)^2+(D59-5)^2)</f>
        <v>3.1622776601683795</v>
      </c>
      <c r="K59" s="9">
        <v>3</v>
      </c>
      <c r="L59" s="9">
        <v>3</v>
      </c>
      <c r="M59" s="9">
        <v>2</v>
      </c>
      <c r="N59" s="9" t="s">
        <v>4</v>
      </c>
      <c r="O59" s="10">
        <f>SQRT((L59-6)^2+(M59-5)^2)</f>
        <v>4.2426406871192848</v>
      </c>
    </row>
    <row r="60" spans="1:25" x14ac:dyDescent="0.25">
      <c r="B60" s="2">
        <v>13</v>
      </c>
      <c r="C60" s="2">
        <v>3</v>
      </c>
      <c r="D60" s="2">
        <v>7</v>
      </c>
      <c r="E60" s="2" t="s">
        <v>4</v>
      </c>
      <c r="F60" s="6">
        <f>SQRT((C60-6)^2+(D60-5)^2)</f>
        <v>3.6055512754639891</v>
      </c>
      <c r="K60" s="9">
        <v>18</v>
      </c>
      <c r="L60" s="9">
        <v>8</v>
      </c>
      <c r="M60" s="9">
        <v>9</v>
      </c>
      <c r="N60" s="9" t="s">
        <v>4</v>
      </c>
      <c r="O60" s="10">
        <f>SQRT((L60-6)^2+(M60-5)^2)</f>
        <v>4.4721359549995796</v>
      </c>
    </row>
    <row r="61" spans="1:25" ht="30" x14ac:dyDescent="0.25">
      <c r="B61" s="2">
        <v>4</v>
      </c>
      <c r="C61" s="2">
        <v>4</v>
      </c>
      <c r="D61" s="2">
        <v>2</v>
      </c>
      <c r="E61" s="2" t="s">
        <v>5</v>
      </c>
      <c r="F61" s="6">
        <f>SQRT((C61-6)^2+(D61-5)^2)</f>
        <v>3.6055512754639891</v>
      </c>
      <c r="K61" s="9">
        <v>11</v>
      </c>
      <c r="L61" s="9">
        <v>1</v>
      </c>
      <c r="M61" s="9">
        <v>6</v>
      </c>
      <c r="N61" s="9" t="s">
        <v>5</v>
      </c>
      <c r="O61" s="10">
        <f>SQRT((L61-6)^2+(M61-5)^2)</f>
        <v>5.0990195135927845</v>
      </c>
      <c r="U61" s="1" t="s">
        <v>0</v>
      </c>
      <c r="V61" s="1" t="s">
        <v>1</v>
      </c>
      <c r="W61" s="1" t="s">
        <v>2</v>
      </c>
      <c r="X61" s="1" t="s">
        <v>3</v>
      </c>
      <c r="Y61" s="4" t="s">
        <v>22</v>
      </c>
    </row>
    <row r="62" spans="1:25" x14ac:dyDescent="0.25">
      <c r="B62" s="2">
        <v>10</v>
      </c>
      <c r="C62" s="2">
        <v>10</v>
      </c>
      <c r="D62" s="2">
        <v>5</v>
      </c>
      <c r="E62" s="2" t="s">
        <v>4</v>
      </c>
      <c r="F62" s="6">
        <f>SQRT((C62-6)^2+(D62-5)^2)</f>
        <v>4</v>
      </c>
      <c r="K62" s="9">
        <v>2</v>
      </c>
      <c r="L62" s="9">
        <v>2</v>
      </c>
      <c r="M62" s="9">
        <v>1</v>
      </c>
      <c r="N62" s="9" t="s">
        <v>4</v>
      </c>
      <c r="O62" s="10">
        <f>SQRT((L62-6)^2+(M62-5)^2)</f>
        <v>5.6568542494923806</v>
      </c>
      <c r="U62" s="11">
        <v>6</v>
      </c>
      <c r="V62" s="11">
        <v>6</v>
      </c>
      <c r="W62" s="11">
        <v>3</v>
      </c>
      <c r="X62" s="11" t="s">
        <v>5</v>
      </c>
      <c r="Y62" s="12">
        <f>SQRT((V62-6)^2+(W62-5)^2)</f>
        <v>2</v>
      </c>
    </row>
    <row r="63" spans="1:25" x14ac:dyDescent="0.25">
      <c r="B63" s="2">
        <v>12</v>
      </c>
      <c r="C63" s="2">
        <v>2</v>
      </c>
      <c r="D63" s="2">
        <v>6</v>
      </c>
      <c r="E63" s="2" t="s">
        <v>5</v>
      </c>
      <c r="F63" s="6">
        <f>SQRT((C63-6)^2+(D63-5)^2)</f>
        <v>4.1231056256176606</v>
      </c>
      <c r="K63" s="9">
        <v>19</v>
      </c>
      <c r="L63" s="9">
        <v>9</v>
      </c>
      <c r="M63" s="9">
        <v>10</v>
      </c>
      <c r="N63" s="9" t="s">
        <v>5</v>
      </c>
      <c r="O63" s="10">
        <f>SQRT((L63-6)^2+(M63-5)^2)</f>
        <v>5.8309518948453007</v>
      </c>
      <c r="U63" s="11">
        <v>5</v>
      </c>
      <c r="V63" s="11">
        <v>5</v>
      </c>
      <c r="W63" s="11">
        <v>3</v>
      </c>
      <c r="X63" s="11" t="s">
        <v>5</v>
      </c>
      <c r="Y63" s="12">
        <f>SQRT((V63-6)^2+(W63-5)^2)</f>
        <v>2.2360679774997898</v>
      </c>
    </row>
    <row r="64" spans="1:25" x14ac:dyDescent="0.25">
      <c r="B64" s="2">
        <v>17</v>
      </c>
      <c r="C64" s="2">
        <v>7</v>
      </c>
      <c r="D64" s="2">
        <v>9</v>
      </c>
      <c r="E64" s="2" t="s">
        <v>4</v>
      </c>
      <c r="F64" s="6">
        <f>SQRT((C64-6)^2+(D64-5)^2)</f>
        <v>4.1231056256176606</v>
      </c>
      <c r="K64" s="9">
        <v>1</v>
      </c>
      <c r="L64" s="9">
        <v>1</v>
      </c>
      <c r="M64" s="9">
        <v>1</v>
      </c>
      <c r="N64" s="9" t="s">
        <v>4</v>
      </c>
      <c r="O64" s="10">
        <f>SQRT((L64-6)^2+(M64-5)^2)</f>
        <v>6.4031242374328485</v>
      </c>
      <c r="U64" s="9">
        <v>16</v>
      </c>
      <c r="V64" s="9">
        <v>6</v>
      </c>
      <c r="W64" s="9">
        <v>8</v>
      </c>
      <c r="X64" s="9" t="s">
        <v>5</v>
      </c>
      <c r="Y64" s="10">
        <f>SQRT((V64-6)^2+(W64-5)^2)</f>
        <v>3</v>
      </c>
    </row>
    <row r="65" spans="2:25" x14ac:dyDescent="0.25">
      <c r="B65" s="2">
        <v>3</v>
      </c>
      <c r="C65" s="2">
        <v>3</v>
      </c>
      <c r="D65" s="2">
        <v>2</v>
      </c>
      <c r="E65" s="2" t="s">
        <v>4</v>
      </c>
      <c r="F65" s="6">
        <f>SQRT((C65-6)^2+(D65-5)^2)</f>
        <v>4.2426406871192848</v>
      </c>
      <c r="K65" s="9">
        <v>20</v>
      </c>
      <c r="L65" s="9">
        <v>10</v>
      </c>
      <c r="M65" s="9">
        <v>10</v>
      </c>
      <c r="N65" s="9" t="s">
        <v>4</v>
      </c>
      <c r="O65" s="10">
        <f>SQRT((L65-6)^2+(M65-5)^2)</f>
        <v>6.4031242374328485</v>
      </c>
      <c r="U65" s="9">
        <v>9</v>
      </c>
      <c r="V65" s="9">
        <v>9</v>
      </c>
      <c r="W65" s="9">
        <v>5</v>
      </c>
      <c r="X65" s="9" t="s">
        <v>5</v>
      </c>
      <c r="Y65" s="10">
        <f>SQRT((V65-6)^2+(W65-5)^2)</f>
        <v>3</v>
      </c>
    </row>
    <row r="66" spans="2:25" x14ac:dyDescent="0.25">
      <c r="B66" s="2">
        <v>18</v>
      </c>
      <c r="C66" s="2">
        <v>8</v>
      </c>
      <c r="D66" s="2">
        <v>9</v>
      </c>
      <c r="E66" s="2" t="s">
        <v>4</v>
      </c>
      <c r="F66" s="6">
        <f>SQRT((C66-6)^2+(D66-5)^2)</f>
        <v>4.4721359549995796</v>
      </c>
      <c r="U66" s="9">
        <v>15</v>
      </c>
      <c r="V66" s="9">
        <v>5</v>
      </c>
      <c r="W66" s="9">
        <v>8</v>
      </c>
      <c r="X66" s="9" t="s">
        <v>5</v>
      </c>
      <c r="Y66" s="10">
        <f>SQRT((V66-6)^2+(W66-5)^2)</f>
        <v>3.1622776601683795</v>
      </c>
    </row>
    <row r="67" spans="2:25" x14ac:dyDescent="0.25">
      <c r="B67" s="2">
        <v>11</v>
      </c>
      <c r="C67" s="2">
        <v>1</v>
      </c>
      <c r="D67" s="2">
        <v>6</v>
      </c>
      <c r="E67" s="2" t="s">
        <v>5</v>
      </c>
      <c r="F67" s="6">
        <f>SQRT((C67-6)^2+(D67-5)^2)</f>
        <v>5.0990195135927845</v>
      </c>
      <c r="U67" s="9">
        <v>4</v>
      </c>
      <c r="V67" s="9">
        <v>4</v>
      </c>
      <c r="W67" s="9">
        <v>2</v>
      </c>
      <c r="X67" s="9" t="s">
        <v>5</v>
      </c>
      <c r="Y67" s="10">
        <f>SQRT((V67-6)^2+(W67-5)^2)</f>
        <v>3.6055512754639891</v>
      </c>
    </row>
    <row r="68" spans="2:25" x14ac:dyDescent="0.25">
      <c r="B68" s="2">
        <v>2</v>
      </c>
      <c r="C68" s="2">
        <v>2</v>
      </c>
      <c r="D68" s="2">
        <v>1</v>
      </c>
      <c r="E68" s="2" t="s">
        <v>4</v>
      </c>
      <c r="F68" s="6">
        <f>SQRT((C68-6)^2+(D68-5)^2)</f>
        <v>5.6568542494923806</v>
      </c>
      <c r="U68" s="9">
        <v>12</v>
      </c>
      <c r="V68" s="9">
        <v>2</v>
      </c>
      <c r="W68" s="9">
        <v>6</v>
      </c>
      <c r="X68" s="9" t="s">
        <v>5</v>
      </c>
      <c r="Y68" s="10">
        <f>SQRT((V68-6)^2+(W68-5)^2)</f>
        <v>4.1231056256176606</v>
      </c>
    </row>
    <row r="69" spans="2:25" x14ac:dyDescent="0.25">
      <c r="B69" s="2">
        <v>19</v>
      </c>
      <c r="C69" s="2">
        <v>9</v>
      </c>
      <c r="D69" s="2">
        <v>10</v>
      </c>
      <c r="E69" s="2" t="s">
        <v>5</v>
      </c>
      <c r="F69" s="6">
        <f>SQRT((C69-6)^2+(D69-5)^2)</f>
        <v>5.8309518948453007</v>
      </c>
      <c r="U69" s="9">
        <v>11</v>
      </c>
      <c r="V69" s="9">
        <v>1</v>
      </c>
      <c r="W69" s="9">
        <v>6</v>
      </c>
      <c r="X69" s="9" t="s">
        <v>5</v>
      </c>
      <c r="Y69" s="10">
        <f>SQRT((V69-6)^2+(W69-5)^2)</f>
        <v>5.0990195135927845</v>
      </c>
    </row>
    <row r="70" spans="2:25" x14ac:dyDescent="0.25">
      <c r="B70" s="2">
        <v>1</v>
      </c>
      <c r="C70" s="2">
        <v>1</v>
      </c>
      <c r="D70" s="2">
        <v>1</v>
      </c>
      <c r="E70" s="2" t="s">
        <v>4</v>
      </c>
      <c r="F70" s="6">
        <f>SQRT((C70-6)^2+(D70-5)^2)</f>
        <v>6.4031242374328485</v>
      </c>
      <c r="U70" s="9">
        <v>19</v>
      </c>
      <c r="V70" s="9">
        <v>9</v>
      </c>
      <c r="W70" s="9">
        <v>10</v>
      </c>
      <c r="X70" s="9" t="s">
        <v>5</v>
      </c>
      <c r="Y70" s="10">
        <f>SQRT((V70-6)^2+(W70-5)^2)</f>
        <v>5.8309518948453007</v>
      </c>
    </row>
    <row r="71" spans="2:25" x14ac:dyDescent="0.25">
      <c r="B71" s="2">
        <v>20</v>
      </c>
      <c r="C71" s="2">
        <v>10</v>
      </c>
      <c r="D71" s="2">
        <v>10</v>
      </c>
      <c r="E71" s="2" t="s">
        <v>4</v>
      </c>
      <c r="F71" s="6">
        <f>SQRT((C71-6)^2+(D71-5)^2)</f>
        <v>6.4031242374328485</v>
      </c>
    </row>
  </sheetData>
  <sortState ref="K46:O65">
    <sortCondition ref="O38"/>
  </sortState>
  <mergeCells count="7">
    <mergeCell ref="K31:P32"/>
    <mergeCell ref="U2:X2"/>
    <mergeCell ref="S25:V26"/>
    <mergeCell ref="J2:N2"/>
    <mergeCell ref="B28:C28"/>
    <mergeCell ref="B29:G30"/>
    <mergeCell ref="B44:F4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645</cp:lastModifiedBy>
  <cp:lastPrinted>2026-04-14T08:16:23Z</cp:lastPrinted>
  <dcterms:created xsi:type="dcterms:W3CDTF">2025-03-25T06:11:06Z</dcterms:created>
  <dcterms:modified xsi:type="dcterms:W3CDTF">2026-04-14T08:16:42Z</dcterms:modified>
</cp:coreProperties>
</file>