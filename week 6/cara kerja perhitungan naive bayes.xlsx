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14055" windowHeight="8895" activeTab="1"/>
  </bookViews>
  <sheets>
    <sheet name="Data NB" sheetId="1" r:id="rId1"/>
    <sheet name="Quiz NB" sheetId="2" r:id="rId2"/>
  </sheets>
  <calcPr calcId="144525"/>
  <extLst>
    <ext uri="GoogleSheetsCustomDataVersion2">
      <go:sheetsCustomData xmlns:go="http://customooxmlschemas.google.com/" r:id="" roundtripDataChecksum="IvpxLtgn7pUZIyLtdHDuz36NTvFsaIEOlEZOQPYI0Uc="/>
    </ext>
  </extLst>
</workbook>
</file>

<file path=xl/calcChain.xml><?xml version="1.0" encoding="utf-8"?>
<calcChain xmlns="http://schemas.openxmlformats.org/spreadsheetml/2006/main">
  <c r="I62" i="2" l="1"/>
  <c r="D62" i="2"/>
  <c r="D72" i="2"/>
  <c r="D39" i="2"/>
  <c r="D71" i="2"/>
  <c r="D77" i="2"/>
  <c r="D65" i="2"/>
  <c r="D61" i="2"/>
  <c r="D64" i="2"/>
  <c r="D63" i="2"/>
  <c r="D38" i="2"/>
  <c r="C64" i="1"/>
  <c r="C63" i="1"/>
  <c r="C69" i="1" s="1"/>
  <c r="C56" i="1"/>
  <c r="C55" i="1"/>
  <c r="C54" i="1"/>
  <c r="H53" i="1"/>
  <c r="C58" i="1" s="1"/>
  <c r="C53" i="1"/>
  <c r="C52" i="1"/>
  <c r="C20" i="1"/>
  <c r="C19" i="1"/>
  <c r="D67" i="2" l="1"/>
</calcChain>
</file>

<file path=xl/sharedStrings.xml><?xml version="1.0" encoding="utf-8"?>
<sst xmlns="http://schemas.openxmlformats.org/spreadsheetml/2006/main" count="214" uniqueCount="85">
  <si>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</si>
  <si>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</si>
  <si>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</si>
  <si>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</si>
  <si>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</si>
  <si>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</si>
  <si>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</si>
  <si>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</si>
  <si>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</si>
  <si>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</si>
  <si>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</si>
  <si>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</si>
  <si>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</si>
  <si>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</si>
  <si>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</si>
  <si>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</si>
  <si>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</si>
  <si>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</si>
  <si>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</si>
  <si>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</si>
  <si>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</si>
  <si>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</si>
  <si>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</si>
  <si>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</si>
  <si>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</si>
  <si>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</si>
  <si>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</si>
  <si>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</si>
  <si>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</si>
  <si>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</si>
  <si>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</si>
  <si>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</si>
  <si>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</si>
  <si>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</si>
  <si>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</si>
  <si>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</si>
  <si>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</si>
  <si>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</si>
  <si>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</si>
  <si>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</si>
  <si>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</si>
  <si>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</si>
  <si>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</si>
  <si>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</si>
  <si>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</si>
  <si>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</si>
  <si>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</si>
  <si>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</si>
  <si>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</si>
  <si>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</si>
  <si>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</si>
  <si>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</si>
  <si>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</si>
  <si>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</si>
  <si>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</si>
  <si>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</si>
  <si>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</si>
  <si>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</si>
  <si>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</si>
  <si>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</si>
  <si>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</si>
  <si>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</si>
  <si>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</si>
  <si>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</si>
  <si>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</si>
  <si>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</si>
  <si>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</si>
  <si>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</si>
  <si>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</si>
  <si>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</si>
  <si>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</si>
  <si>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</si>
  <si>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Istiqomah</t>
  </si>
  <si>
    <t>A</t>
  </si>
  <si>
    <t>Hitung Probabilitas Kelas</t>
  </si>
  <si>
    <t>Outlook = Sunny, Temperature = cool, Humidity = High, Wind = Weak</t>
  </si>
  <si>
    <t>P(Yes|Fitur) = P(Yes) * P(Sunny|Yes) * P(Cool|Yes) * P(High|Yes) * P(Weak|Yes)</t>
  </si>
  <si>
    <t xml:space="preserve">P(Weak|Yes) = </t>
  </si>
  <si>
    <t>P(No|Fitur) = P(No) * P(Sunny|No) * P(Cool|No) * P(High|No) * P(Weak|No)</t>
  </si>
  <si>
    <t xml:space="preserve">P(Weak|No) = </t>
  </si>
  <si>
    <t>Outlook = Sunny, Temperature = Cool, Humidity = High, Wind = Weak</t>
  </si>
  <si>
    <t xml:space="preserve">Gunakan Laplace smoothing: (0+1)/(4+4) </t>
  </si>
  <si>
    <t>adalah: "NO"</t>
  </si>
  <si>
    <t>Prediksi</t>
  </si>
  <si>
    <t>No(4)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</si>
</sst>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?/4"/>
    <numFmt numFmtId="165" formatCode="_(* #,##0.00000_);_(* \(#,##0.00000\);_(* &quot;-&quot;?????_);_(@_)"/>
    <numFmt numFmtId="166" formatCode="#\ ?/8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2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4" fillId="0" borderId="0" xfId="0" applyNumberFormat="1" applyFont="1"/>
    <xf numFmtId="16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4" fillId="0" borderId="0" xfId="0" applyFont="1" applyAlignment="1"/>
    <xf numFmtId="0" fontId="4" fillId="0" borderId="0" xfId="0" applyFont="1"/>
    <xf numFmtId="0" fontId="0" fillId="0" borderId="0" xfId="0" applyFont="1"/>
    <xf numFmtId="0" fontId="11" fillId="0" borderId="0" xfId="0" applyFont="1"/>
    <xf numFmtId="0" fontId="1" fillId="0" borderId="0" xfId="0" applyFont="1" applyAlignment="1"/>
    <xf numFmtId="0" fontId="1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00"/>
  <sheetViews>
    <sheetView topLeftCell="A40" workbookViewId="0">
      <selection activeCell="H53" sqref="H53"/>
    </sheetView>
  </sheetViews>
  <sheetFormatPr defaultColWidth="14.42578125" defaultRowHeight="15" customHeight="1"/>
  <cols>
    <col min="1" max="1" width="8.7109375" customWidth="1"/>
    <col min="2" max="2" width="14.28515625" customWidth="1"/>
    <col min="3" max="3" width="12.28515625" customWidth="1"/>
    <col min="4" max="4" width="12.5703125" customWidth="1"/>
    <col min="5" max="5" width="8.7109375" customWidth="1"/>
    <col min="6" max="6" width="12.28515625" customWidth="1"/>
    <col min="7" max="26" width="8.7109375" customWidth="1"/>
  </cols>
  <sheetData>
    <row r="1" spans="2:8" ht="14.25" customHeight="1"/>
    <row r="2" spans="2:8" ht="14.25" customHeight="1"/>
    <row r="3" spans="2:8" ht="14.25" customHeight="1">
      <c r="B3" s="26" t="s">
        <v>0</v>
      </c>
      <c r="C3" s="27"/>
      <c r="D3" s="27"/>
      <c r="E3" s="27"/>
      <c r="F3" s="27"/>
      <c r="G3" s="27"/>
      <c r="H3" s="27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8" t="s">
        <v>25</v>
      </c>
      <c r="C24" s="27"/>
      <c r="D24" s="27"/>
      <c r="E24" s="27"/>
      <c r="F24" s="27"/>
      <c r="G24" s="27"/>
    </row>
    <row r="25" spans="2:8" ht="14.25" customHeight="1">
      <c r="B25" s="27"/>
      <c r="C25" s="27"/>
      <c r="D25" s="27"/>
      <c r="E25" s="27"/>
      <c r="F25" s="27"/>
      <c r="G25" s="27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9" t="s">
        <v>34</v>
      </c>
      <c r="C47" s="27"/>
      <c r="D47" s="27"/>
      <c r="E47" s="27"/>
      <c r="F47" s="27"/>
      <c r="G47" s="27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30" t="s">
        <v>39</v>
      </c>
      <c r="E53" s="27"/>
      <c r="F53" s="27"/>
      <c r="G53" s="27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I1000"/>
  <sheetViews>
    <sheetView tabSelected="1" topLeftCell="B58" workbookViewId="0">
      <selection activeCell="D67" sqref="D67"/>
    </sheetView>
  </sheetViews>
  <sheetFormatPr defaultColWidth="14.42578125" defaultRowHeight="15" customHeight="1"/>
  <cols>
    <col min="1" max="2" width="8.7109375" customWidth="1"/>
    <col min="3" max="3" width="11.28515625" customWidth="1"/>
    <col min="4" max="4" width="9.140625" customWidth="1"/>
    <col min="5" max="5" width="13.140625" customWidth="1"/>
    <col min="6" max="6" width="8.7109375" customWidth="1"/>
    <col min="7" max="7" width="12.42578125" customWidth="1"/>
    <col min="8" max="8" width="12.28515625" customWidth="1"/>
    <col min="9" max="26" width="8.7109375" customWidth="1"/>
  </cols>
  <sheetData>
    <row r="1" spans="3:8" ht="14.25" customHeight="1"/>
    <row r="2" spans="3:8" ht="14.25" customHeight="1">
      <c r="C2" s="31" t="s">
        <v>56</v>
      </c>
      <c r="D2" s="27"/>
      <c r="E2" s="27"/>
      <c r="F2" s="27"/>
      <c r="G2" s="27"/>
      <c r="H2" s="27"/>
    </row>
    <row r="3" spans="3:8" ht="14.25" customHeight="1"/>
    <row r="4" spans="3:8" ht="14.25" customHeight="1">
      <c r="C4" s="4" t="s">
        <v>57</v>
      </c>
      <c r="D4" t="s">
        <v>72</v>
      </c>
    </row>
    <row r="5" spans="3:8" ht="14.25" customHeight="1">
      <c r="C5" s="4" t="s">
        <v>58</v>
      </c>
      <c r="D5">
        <v>4222301013</v>
      </c>
    </row>
    <row r="6" spans="3:8" ht="14.25" customHeight="1">
      <c r="C6" s="4" t="s">
        <v>59</v>
      </c>
      <c r="D6" t="s">
        <v>73</v>
      </c>
    </row>
    <row r="7" spans="3:8" ht="14.25" customHeight="1"/>
    <row r="8" spans="3:8" ht="14.25" customHeight="1">
      <c r="C8" s="1" t="s">
        <v>60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61</v>
      </c>
      <c r="D21" s="19"/>
    </row>
    <row r="22" spans="3:8" ht="14.25" customHeight="1">
      <c r="C22" s="32" t="s">
        <v>62</v>
      </c>
      <c r="D22" s="27"/>
      <c r="E22" s="27"/>
      <c r="F22" s="27"/>
      <c r="G22" s="27"/>
      <c r="H22" s="27"/>
    </row>
    <row r="23" spans="3:8" ht="14.25" customHeight="1">
      <c r="C23" s="27"/>
      <c r="D23" s="27"/>
      <c r="E23" s="27"/>
      <c r="F23" s="27"/>
      <c r="G23" s="27"/>
      <c r="H23" s="27"/>
    </row>
    <row r="24" spans="3:8" ht="14.25" customHeight="1">
      <c r="C24" s="27"/>
      <c r="D24" s="27"/>
      <c r="E24" s="27"/>
      <c r="F24" s="27"/>
      <c r="G24" s="27"/>
      <c r="H24" s="27"/>
    </row>
    <row r="25" spans="3:8" ht="14.25" customHeight="1">
      <c r="C25" s="20" t="s">
        <v>63</v>
      </c>
      <c r="D25" s="21"/>
    </row>
    <row r="26" spans="3:8" ht="14.25" customHeight="1">
      <c r="C26" s="21" t="s">
        <v>64</v>
      </c>
      <c r="D26" s="21"/>
    </row>
    <row r="27" spans="3:8" ht="14.25" customHeight="1">
      <c r="C27" s="21" t="s">
        <v>65</v>
      </c>
      <c r="D27" s="21"/>
    </row>
    <row r="28" spans="3:8" ht="14.25" customHeight="1">
      <c r="C28" s="20" t="s">
        <v>66</v>
      </c>
      <c r="D28" s="21"/>
    </row>
    <row r="29" spans="3:8" ht="14.25" customHeight="1"/>
    <row r="30" spans="3:8" ht="14.25" customHeight="1">
      <c r="C30" s="19" t="s">
        <v>67</v>
      </c>
      <c r="D30" s="21"/>
      <c r="E30" s="21"/>
      <c r="F30" s="21"/>
      <c r="G30" s="21"/>
      <c r="H30" s="21"/>
    </row>
    <row r="31" spans="3:8" ht="14.25" customHeight="1">
      <c r="C31" s="21" t="s">
        <v>68</v>
      </c>
      <c r="D31" s="21"/>
      <c r="E31" s="21"/>
      <c r="F31" s="21"/>
      <c r="G31" s="21"/>
      <c r="H31" s="21"/>
    </row>
    <row r="32" spans="3:8" ht="14.25" customHeight="1">
      <c r="C32" s="21" t="s">
        <v>69</v>
      </c>
      <c r="D32" s="21"/>
      <c r="E32" s="21"/>
      <c r="F32" s="21"/>
      <c r="G32" s="21"/>
      <c r="H32" s="21"/>
    </row>
    <row r="33" spans="3:9" ht="14.25" customHeight="1">
      <c r="C33" s="21" t="s">
        <v>70</v>
      </c>
      <c r="D33" s="21"/>
      <c r="E33" s="21"/>
      <c r="F33" s="21"/>
      <c r="G33" s="21"/>
      <c r="H33" s="21"/>
    </row>
    <row r="34" spans="3:9" ht="14.25" customHeight="1">
      <c r="C34" s="21" t="s">
        <v>71</v>
      </c>
      <c r="D34" s="21"/>
      <c r="E34" s="21"/>
      <c r="F34" s="21"/>
      <c r="G34" s="21"/>
      <c r="H34" s="21"/>
    </row>
    <row r="35" spans="3:9" ht="14.25" customHeight="1"/>
    <row r="36" spans="3:9" ht="14.25" customHeight="1">
      <c r="C36" s="1" t="s">
        <v>74</v>
      </c>
    </row>
    <row r="37" spans="3:9" ht="14.25" customHeight="1"/>
    <row r="38" spans="3:9" ht="14.25" customHeight="1">
      <c r="C38" s="4" t="s">
        <v>22</v>
      </c>
      <c r="D38" s="5">
        <f>4/8</f>
        <v>0.5</v>
      </c>
    </row>
    <row r="39" spans="3:9" ht="14.25" customHeight="1">
      <c r="C39" s="4" t="s">
        <v>23</v>
      </c>
      <c r="D39" s="5">
        <f>4/8</f>
        <v>0.5</v>
      </c>
    </row>
    <row r="40" spans="3:9" ht="14.25" customHeight="1"/>
    <row r="41" spans="3:9" ht="14.25" customHeight="1"/>
    <row r="42" spans="3:9" ht="14.25" customHeight="1">
      <c r="C42" s="4" t="s">
        <v>26</v>
      </c>
      <c r="G42" s="4" t="s">
        <v>27</v>
      </c>
    </row>
    <row r="43" spans="3:9" ht="14.25" customHeight="1"/>
    <row r="44" spans="3:9" ht="14.25" customHeight="1">
      <c r="C44" s="3" t="s">
        <v>3</v>
      </c>
      <c r="D44" s="3" t="s">
        <v>28</v>
      </c>
      <c r="E44" s="3" t="s">
        <v>84</v>
      </c>
      <c r="G44" s="3" t="s">
        <v>4</v>
      </c>
      <c r="H44" s="3" t="s">
        <v>28</v>
      </c>
      <c r="I44" s="3" t="s">
        <v>84</v>
      </c>
    </row>
    <row r="45" spans="3:9" ht="14.25" customHeight="1">
      <c r="C45" s="3" t="s">
        <v>8</v>
      </c>
      <c r="D45" s="3">
        <v>0</v>
      </c>
      <c r="E45" s="3">
        <v>3</v>
      </c>
      <c r="G45" s="7" t="s">
        <v>9</v>
      </c>
      <c r="H45" s="3">
        <v>1</v>
      </c>
      <c r="I45" s="3">
        <v>2</v>
      </c>
    </row>
    <row r="46" spans="3:9" ht="14.25" customHeight="1">
      <c r="C46" s="3" t="s">
        <v>16</v>
      </c>
      <c r="D46" s="3">
        <v>2</v>
      </c>
      <c r="E46" s="3">
        <v>1</v>
      </c>
      <c r="G46" s="7" t="s">
        <v>17</v>
      </c>
      <c r="H46" s="3">
        <v>1</v>
      </c>
      <c r="I46" s="3">
        <v>1</v>
      </c>
    </row>
    <row r="47" spans="3:9" ht="14.25" customHeight="1">
      <c r="C47" s="3" t="s">
        <v>14</v>
      </c>
      <c r="D47" s="3">
        <v>2</v>
      </c>
      <c r="E47" s="3">
        <v>0</v>
      </c>
      <c r="G47" s="7" t="s">
        <v>18</v>
      </c>
      <c r="H47" s="3">
        <v>2</v>
      </c>
      <c r="I47" s="3">
        <v>1</v>
      </c>
    </row>
    <row r="48" spans="3:9" ht="14.25" customHeight="1"/>
    <row r="49" spans="3:9" ht="14.25" customHeight="1">
      <c r="C49" s="8" t="s">
        <v>30</v>
      </c>
      <c r="G49" s="4" t="s">
        <v>31</v>
      </c>
    </row>
    <row r="50" spans="3:9" ht="14.25" customHeight="1"/>
    <row r="51" spans="3:9" ht="14.25" customHeight="1">
      <c r="C51" s="7" t="s">
        <v>5</v>
      </c>
      <c r="D51" s="7" t="s">
        <v>28</v>
      </c>
      <c r="E51" s="7" t="s">
        <v>84</v>
      </c>
      <c r="G51" s="7" t="s">
        <v>6</v>
      </c>
      <c r="H51" s="7" t="s">
        <v>28</v>
      </c>
      <c r="I51" s="7" t="s">
        <v>84</v>
      </c>
    </row>
    <row r="52" spans="3:9" ht="14.25" customHeight="1">
      <c r="C52" s="7" t="s">
        <v>10</v>
      </c>
      <c r="D52" s="3">
        <v>2</v>
      </c>
      <c r="E52" s="3">
        <v>3</v>
      </c>
      <c r="G52" s="7" t="s">
        <v>11</v>
      </c>
      <c r="H52" s="3">
        <v>3</v>
      </c>
      <c r="I52" s="3">
        <v>2</v>
      </c>
    </row>
    <row r="53" spans="3:9" ht="14.25" customHeight="1">
      <c r="C53" s="7" t="s">
        <v>19</v>
      </c>
      <c r="D53" s="3">
        <v>2</v>
      </c>
      <c r="E53" s="3">
        <v>1</v>
      </c>
      <c r="G53" s="7" t="s">
        <v>13</v>
      </c>
      <c r="H53" s="3">
        <v>1</v>
      </c>
      <c r="I53" s="3">
        <v>2</v>
      </c>
    </row>
    <row r="54" spans="3:9" ht="14.25" customHeight="1"/>
    <row r="55" spans="3:9" ht="14.25" customHeight="1"/>
    <row r="56" spans="3:9" ht="14.25" customHeight="1">
      <c r="C56" s="24" t="s">
        <v>83</v>
      </c>
    </row>
    <row r="57" spans="3:9" ht="14.25" customHeight="1">
      <c r="C57" s="29" t="s">
        <v>75</v>
      </c>
      <c r="D57" s="27"/>
      <c r="E57" s="27"/>
      <c r="F57" s="27"/>
      <c r="G57" s="27"/>
      <c r="H57" s="27"/>
    </row>
    <row r="58" spans="3:9" ht="14.25" customHeight="1">
      <c r="C58" s="25" t="s">
        <v>35</v>
      </c>
      <c r="D58" s="1"/>
      <c r="E58" s="1"/>
      <c r="F58" s="1"/>
      <c r="G58" s="1"/>
      <c r="H58" s="1"/>
      <c r="I58" s="1"/>
    </row>
    <row r="59" spans="3:9" ht="14.25" customHeight="1">
      <c r="C59" s="1" t="s">
        <v>76</v>
      </c>
      <c r="D59" s="1"/>
      <c r="E59" s="1"/>
      <c r="F59" s="1"/>
      <c r="G59" s="1"/>
      <c r="H59" s="1"/>
      <c r="I59" s="1"/>
    </row>
    <row r="60" spans="3:9" ht="14.25" customHeight="1"/>
    <row r="61" spans="3:9" ht="14.25" customHeight="1">
      <c r="C61" s="4" t="s">
        <v>37</v>
      </c>
      <c r="D61" s="5">
        <f>4/8</f>
        <v>0.5</v>
      </c>
    </row>
    <row r="62" spans="3:9" ht="14.25" customHeight="1">
      <c r="C62" s="4" t="s">
        <v>38</v>
      </c>
      <c r="D62" s="4">
        <f>0/4</f>
        <v>0</v>
      </c>
      <c r="E62" s="30" t="s">
        <v>81</v>
      </c>
      <c r="F62" s="27"/>
      <c r="G62" s="27"/>
      <c r="H62" s="27"/>
      <c r="I62" s="5">
        <f>1/8</f>
        <v>0.125</v>
      </c>
    </row>
    <row r="63" spans="3:9" ht="14.25" customHeight="1">
      <c r="C63" s="4" t="s">
        <v>40</v>
      </c>
      <c r="D63" s="9">
        <f t="shared" ref="D63:D64" si="0">2/4</f>
        <v>0.5</v>
      </c>
    </row>
    <row r="64" spans="3:9" ht="14.25" customHeight="1">
      <c r="C64" s="4" t="s">
        <v>41</v>
      </c>
      <c r="D64" s="9">
        <f t="shared" si="0"/>
        <v>0.5</v>
      </c>
    </row>
    <row r="65" spans="3:4" ht="14.25" customHeight="1">
      <c r="C65" s="22" t="s">
        <v>77</v>
      </c>
      <c r="D65" s="5">
        <f>3/4</f>
        <v>0.75</v>
      </c>
    </row>
    <row r="66" spans="3:4" ht="14.25" customHeight="1"/>
    <row r="67" spans="3:4" ht="14.25" customHeight="1">
      <c r="C67" s="4" t="s">
        <v>43</v>
      </c>
      <c r="D67" s="10">
        <f>D61*I62*D63*D64*D65</f>
        <v>1.171875E-2</v>
      </c>
    </row>
    <row r="68" spans="3:4" ht="14.25" customHeight="1"/>
    <row r="69" spans="3:4" ht="14.25" customHeight="1">
      <c r="C69" s="1" t="s">
        <v>78</v>
      </c>
      <c r="D69" s="1"/>
    </row>
    <row r="70" spans="3:4" ht="14.25" customHeight="1"/>
    <row r="71" spans="3:4" ht="14.25" customHeight="1">
      <c r="C71" s="4" t="s">
        <v>45</v>
      </c>
      <c r="D71" s="5">
        <f>4/8</f>
        <v>0.5</v>
      </c>
    </row>
    <row r="72" spans="3:4" ht="14.25" customHeight="1">
      <c r="C72" s="4" t="s">
        <v>46</v>
      </c>
      <c r="D72" s="5">
        <f>3/4</f>
        <v>0.75</v>
      </c>
    </row>
    <row r="73" spans="3:4" ht="14.25" customHeight="1">
      <c r="C73" s="4" t="s">
        <v>47</v>
      </c>
      <c r="D73" s="5">
        <v>0.25</v>
      </c>
    </row>
    <row r="74" spans="3:4" ht="14.25" customHeight="1">
      <c r="C74" s="4" t="s">
        <v>48</v>
      </c>
      <c r="D74" s="5">
        <v>0.75</v>
      </c>
    </row>
    <row r="75" spans="3:4" ht="14.25" customHeight="1">
      <c r="C75" s="22" t="s">
        <v>79</v>
      </c>
      <c r="D75" s="5">
        <v>0.5</v>
      </c>
    </row>
    <row r="76" spans="3:4" ht="14.25" customHeight="1"/>
    <row r="77" spans="3:4" ht="14.25" customHeight="1">
      <c r="C77" s="4" t="s">
        <v>50</v>
      </c>
      <c r="D77" s="10">
        <f>D71*D72*D73*D74*D75</f>
        <v>3.515625E-2</v>
      </c>
    </row>
    <row r="78" spans="3:4" ht="14.25" customHeight="1"/>
    <row r="79" spans="3:4" ht="14.25" customHeight="1"/>
    <row r="80" spans="3:4" ht="14.25" customHeight="1">
      <c r="C80" s="1" t="s">
        <v>51</v>
      </c>
    </row>
    <row r="81" spans="3:4" ht="14.25" customHeight="1"/>
    <row r="82" spans="3:4" ht="14.25" customHeight="1">
      <c r="C82" s="11" t="s">
        <v>52</v>
      </c>
    </row>
    <row r="83" spans="3:4" ht="14.25" customHeight="1"/>
    <row r="84" spans="3:4" ht="14.25" customHeight="1">
      <c r="C84" s="4" t="s">
        <v>53</v>
      </c>
    </row>
    <row r="85" spans="3:4" ht="14.25" customHeight="1">
      <c r="C85" s="12"/>
      <c r="D85" s="1"/>
    </row>
    <row r="86" spans="3:4" ht="14.25" customHeight="1">
      <c r="C86" s="13" t="s">
        <v>80</v>
      </c>
    </row>
    <row r="87" spans="3:4" ht="14.25" customHeight="1"/>
    <row r="88" spans="3:4" ht="14.25" customHeight="1">
      <c r="C88" s="23" t="s">
        <v>82</v>
      </c>
    </row>
    <row r="89" spans="3:4" ht="14.25" customHeight="1"/>
    <row r="90" spans="3:4" ht="14.25" customHeight="1"/>
    <row r="91" spans="3:4" ht="14.25" customHeight="1"/>
    <row r="92" spans="3:4" ht="14.25" customHeight="1"/>
    <row r="93" spans="3:4" ht="14.25" customHeight="1"/>
    <row r="94" spans="3:4" ht="14.25" customHeight="1"/>
    <row r="95" spans="3:4" ht="14.25" customHeight="1"/>
    <row r="96" spans="3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2:H2"/>
    <mergeCell ref="C22:H24"/>
    <mergeCell ref="C57:H57"/>
    <mergeCell ref="E62:H6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hp 645</cp:lastModifiedBy>
  <cp:lastPrinted>2026-04-20T08:10:05Z</cp:lastPrinted>
  <dcterms:created xsi:type="dcterms:W3CDTF">2025-04-15T08:45:59Z</dcterms:created>
  <dcterms:modified xsi:type="dcterms:W3CDTF">2026-04-20T08:22:08Z</dcterms:modified>
</cp:coreProperties>
</file>