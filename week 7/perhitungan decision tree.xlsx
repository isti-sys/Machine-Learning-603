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5600" windowHeight="11760" activeTab="2"/>
  </bookViews>
  <sheets>
    <sheet name="Data" sheetId="2" r:id="rId1"/>
    <sheet name="Menentukan Root" sheetId="1" r:id="rId2"/>
    <sheet name="Menentukan Cabang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27" i="3" l="1"/>
  <c r="D24" i="3"/>
  <c r="D23" i="3"/>
  <c r="D18" i="3"/>
  <c r="B13" i="3"/>
  <c r="D10" i="3"/>
  <c r="D9" i="3"/>
  <c r="D41" i="1"/>
  <c r="E41" i="1" s="1"/>
  <c r="D40" i="1"/>
  <c r="E40" i="1" s="1"/>
  <c r="D32" i="1"/>
  <c r="E32" i="1" s="1"/>
  <c r="D31" i="1"/>
  <c r="E31" i="1" s="1"/>
  <c r="D4" i="3"/>
  <c r="E12" i="1"/>
  <c r="D22" i="1"/>
  <c r="E22" i="1" s="1"/>
  <c r="D23" i="1"/>
  <c r="E23" i="1" s="1"/>
  <c r="D12" i="1"/>
  <c r="D13" i="1"/>
  <c r="E13" i="1" s="1"/>
  <c r="D11" i="1"/>
  <c r="B15" i="1" s="1"/>
  <c r="D21" i="1"/>
  <c r="E21" i="1" s="1"/>
  <c r="E11" i="1"/>
  <c r="B34" i="1" l="1"/>
  <c r="B35" i="1" s="1"/>
  <c r="B43" i="1"/>
  <c r="B44" i="1" s="1"/>
  <c r="B16" i="1"/>
  <c r="B25" i="1"/>
  <c r="B26" i="1" s="1"/>
</calcChain>
</file>

<file path=xl/sharedStrings.xml><?xml version="1.0" encoding="utf-8"?>
<sst xmlns="http://schemas.openxmlformats.org/spreadsheetml/2006/main" count="292" uniqueCount="37">
  <si>
    <t>Outlook</t>
  </si>
  <si>
    <t>Yes</t>
  </si>
  <si>
    <t>No</t>
  </si>
  <si>
    <t>Total</t>
  </si>
  <si>
    <t>Entropy</t>
  </si>
  <si>
    <t>Sunny</t>
  </si>
  <si>
    <t>Cloudy</t>
  </si>
  <si>
    <t>Rainy</t>
  </si>
  <si>
    <t>Step 1: Hitung Entropy Total</t>
  </si>
  <si>
    <t>Entropy Total</t>
  </si>
  <si>
    <t>Step 2: Hitung Information Gain Outlook</t>
  </si>
  <si>
    <t>Humidity</t>
  </si>
  <si>
    <t>Step 3: Hitung Information Gain Temperature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</si>
  <si>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</si>
  <si>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</si>
  <si>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</si>
  <si>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</si>
  <si>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</si>
  <si>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</si>
  <si>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</si>
  <si>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Step 4: Hitung Information Gain Humidity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</si>
  <si>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</si>
  <si>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</si>
  <si>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</si>
  <si>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</si>
  <si>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</si>
  <si>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</si>
  <si>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</si>
  <si>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</si>
  <si>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</si>
  <si>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</si>
  <si>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</si>
  <si>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5: Hitung Information Gain Windy</t>
  </si>
  <si>
    <t>Step 6: Hitung Entropy Total Outlook Sunny</t>
  </si>
  <si>
    <t>Step 7: Hitung Information Gain Outlook sunny-Humidity</t>
  </si>
  <si>
    <t>Step 8: Hitung Entropy Total Outlook Rainy</t>
  </si>
  <si>
    <t>Step 8: Hitung Information Gain Outlook Rainy-Wind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</si>
</sst>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5" fillId="4" borderId="6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40" zoomScaleNormal="40" workbookViewId="0">
      <selection activeCell="D25" sqref="D25"/>
    </sheetView>
  </sheetViews>
  <sheetFormatPr defaultColWidth="30.7109375" defaultRowHeight="15" x14ac:dyDescent="0.25"/>
  <sheetData>
    <row r="1" spans="1:16" ht="31.9" thickBot="1" x14ac:dyDescent="0.35">
      <c r="A1" s="7" t="s">
        <v>24</v>
      </c>
      <c r="B1" s="7" t="s">
        <v>0</v>
      </c>
      <c r="C1" s="7" t="s">
        <v>13</v>
      </c>
      <c r="D1" s="7" t="s">
        <v>11</v>
      </c>
      <c r="E1" s="7" t="s">
        <v>25</v>
      </c>
      <c r="F1" s="7" t="s">
        <v>26</v>
      </c>
      <c r="H1" s="7" t="s">
        <v>24</v>
      </c>
      <c r="I1" s="7" t="s">
        <v>0</v>
      </c>
      <c r="J1" s="7" t="s">
        <v>13</v>
      </c>
      <c r="K1" s="7" t="s">
        <v>26</v>
      </c>
      <c r="M1" s="7" t="s">
        <v>24</v>
      </c>
      <c r="N1" s="7" t="s">
        <v>0</v>
      </c>
      <c r="O1" s="7" t="s">
        <v>11</v>
      </c>
      <c r="P1" s="7" t="s">
        <v>26</v>
      </c>
    </row>
    <row r="2" spans="1:16" ht="32.450000000000003" thickTop="1" thickBot="1" x14ac:dyDescent="0.35">
      <c r="A2" s="8">
        <v>1</v>
      </c>
      <c r="B2" s="8" t="s">
        <v>5</v>
      </c>
      <c r="C2" s="8" t="s">
        <v>14</v>
      </c>
      <c r="D2" s="8" t="s">
        <v>21</v>
      </c>
      <c r="E2" s="8" t="s">
        <v>27</v>
      </c>
      <c r="F2" s="8" t="s">
        <v>2</v>
      </c>
      <c r="H2" s="8">
        <v>1</v>
      </c>
      <c r="I2" s="8" t="s">
        <v>5</v>
      </c>
      <c r="J2" s="8" t="s">
        <v>14</v>
      </c>
      <c r="K2" s="8" t="s">
        <v>2</v>
      </c>
      <c r="M2" s="8">
        <v>1</v>
      </c>
      <c r="N2" s="8" t="s">
        <v>5</v>
      </c>
      <c r="O2" s="8" t="s">
        <v>21</v>
      </c>
      <c r="P2" s="8" t="s">
        <v>2</v>
      </c>
    </row>
    <row r="3" spans="1:16" ht="31.9" thickBot="1" x14ac:dyDescent="0.35">
      <c r="A3" s="9">
        <v>2</v>
      </c>
      <c r="B3" s="9" t="s">
        <v>5</v>
      </c>
      <c r="C3" s="9" t="s">
        <v>14</v>
      </c>
      <c r="D3" s="9" t="s">
        <v>21</v>
      </c>
      <c r="E3" s="9" t="s">
        <v>28</v>
      </c>
      <c r="F3" s="9" t="s">
        <v>2</v>
      </c>
      <c r="H3" s="9">
        <v>2</v>
      </c>
      <c r="I3" s="9" t="s">
        <v>5</v>
      </c>
      <c r="J3" s="9" t="s">
        <v>14</v>
      </c>
      <c r="K3" s="9" t="s">
        <v>2</v>
      </c>
      <c r="M3" s="9">
        <v>2</v>
      </c>
      <c r="N3" s="9" t="s">
        <v>5</v>
      </c>
      <c r="O3" s="9" t="s">
        <v>21</v>
      </c>
      <c r="P3" s="9" t="s">
        <v>2</v>
      </c>
    </row>
    <row r="4" spans="1:16" ht="31.9" thickBot="1" x14ac:dyDescent="0.35">
      <c r="A4" s="10">
        <v>3</v>
      </c>
      <c r="B4" s="10" t="s">
        <v>6</v>
      </c>
      <c r="C4" s="10" t="s">
        <v>14</v>
      </c>
      <c r="D4" s="10" t="s">
        <v>21</v>
      </c>
      <c r="E4" s="10" t="s">
        <v>27</v>
      </c>
      <c r="F4" s="10" t="s">
        <v>1</v>
      </c>
      <c r="H4" s="11">
        <v>3</v>
      </c>
      <c r="I4" s="11" t="s">
        <v>6</v>
      </c>
      <c r="J4" s="11" t="s">
        <v>14</v>
      </c>
      <c r="K4" s="11" t="s">
        <v>1</v>
      </c>
      <c r="M4" s="11">
        <v>3</v>
      </c>
      <c r="N4" s="11" t="s">
        <v>6</v>
      </c>
      <c r="O4" s="11" t="s">
        <v>21</v>
      </c>
      <c r="P4" s="11" t="s">
        <v>1</v>
      </c>
    </row>
    <row r="5" spans="1:16" ht="31.9" thickBot="1" x14ac:dyDescent="0.35">
      <c r="A5" s="9">
        <v>4</v>
      </c>
      <c r="B5" s="9" t="s">
        <v>29</v>
      </c>
      <c r="C5" s="9" t="s">
        <v>15</v>
      </c>
      <c r="D5" s="9" t="s">
        <v>21</v>
      </c>
      <c r="E5" s="9" t="s">
        <v>27</v>
      </c>
      <c r="F5" s="9" t="s">
        <v>1</v>
      </c>
      <c r="H5" s="9">
        <v>4</v>
      </c>
      <c r="I5" s="13" t="s">
        <v>29</v>
      </c>
      <c r="J5" s="13" t="s">
        <v>15</v>
      </c>
      <c r="K5" s="13" t="s">
        <v>1</v>
      </c>
      <c r="M5" s="9">
        <v>4</v>
      </c>
      <c r="N5" s="13" t="s">
        <v>29</v>
      </c>
      <c r="O5" s="13" t="s">
        <v>21</v>
      </c>
      <c r="P5" s="13" t="s">
        <v>1</v>
      </c>
    </row>
    <row r="6" spans="1:16" ht="31.9" thickBot="1" x14ac:dyDescent="0.35">
      <c r="A6" s="10">
        <v>5</v>
      </c>
      <c r="B6" s="10" t="s">
        <v>29</v>
      </c>
      <c r="C6" s="10" t="s">
        <v>16</v>
      </c>
      <c r="D6" s="10" t="s">
        <v>22</v>
      </c>
      <c r="E6" s="10" t="s">
        <v>27</v>
      </c>
      <c r="F6" s="10" t="s">
        <v>1</v>
      </c>
      <c r="H6" s="10">
        <v>5</v>
      </c>
      <c r="I6" s="14" t="s">
        <v>29</v>
      </c>
      <c r="J6" s="14" t="s">
        <v>16</v>
      </c>
      <c r="K6" s="14" t="s">
        <v>1</v>
      </c>
      <c r="M6" s="10">
        <v>5</v>
      </c>
      <c r="N6" s="14" t="s">
        <v>29</v>
      </c>
      <c r="O6" s="14" t="s">
        <v>22</v>
      </c>
      <c r="P6" s="14" t="s">
        <v>1</v>
      </c>
    </row>
    <row r="7" spans="1:16" ht="31.9" thickBot="1" x14ac:dyDescent="0.35">
      <c r="A7" s="9">
        <v>6</v>
      </c>
      <c r="B7" s="9" t="s">
        <v>29</v>
      </c>
      <c r="C7" s="9" t="s">
        <v>16</v>
      </c>
      <c r="D7" s="9" t="s">
        <v>22</v>
      </c>
      <c r="E7" s="9" t="s">
        <v>28</v>
      </c>
      <c r="F7" s="9" t="s">
        <v>2</v>
      </c>
      <c r="H7" s="9">
        <v>6</v>
      </c>
      <c r="I7" s="13" t="s">
        <v>29</v>
      </c>
      <c r="J7" s="13" t="s">
        <v>16</v>
      </c>
      <c r="K7" s="13" t="s">
        <v>2</v>
      </c>
      <c r="M7" s="9">
        <v>6</v>
      </c>
      <c r="N7" s="13" t="s">
        <v>29</v>
      </c>
      <c r="O7" s="13" t="s">
        <v>22</v>
      </c>
      <c r="P7" s="13" t="s">
        <v>2</v>
      </c>
    </row>
    <row r="8" spans="1:16" ht="31.9" thickBot="1" x14ac:dyDescent="0.35">
      <c r="A8" s="10">
        <v>7</v>
      </c>
      <c r="B8" s="10" t="s">
        <v>6</v>
      </c>
      <c r="C8" s="10" t="s">
        <v>30</v>
      </c>
      <c r="D8" s="10" t="s">
        <v>22</v>
      </c>
      <c r="E8" s="10" t="s">
        <v>28</v>
      </c>
      <c r="F8" s="10" t="s">
        <v>1</v>
      </c>
      <c r="H8" s="11">
        <v>7</v>
      </c>
      <c r="I8" s="11" t="s">
        <v>6</v>
      </c>
      <c r="J8" s="11" t="s">
        <v>30</v>
      </c>
      <c r="K8" s="11" t="s">
        <v>1</v>
      </c>
      <c r="M8" s="11">
        <v>7</v>
      </c>
      <c r="N8" s="11" t="s">
        <v>6</v>
      </c>
      <c r="O8" s="11" t="s">
        <v>22</v>
      </c>
      <c r="P8" s="11" t="s">
        <v>1</v>
      </c>
    </row>
    <row r="9" spans="1:16" ht="31.9" thickBot="1" x14ac:dyDescent="0.35">
      <c r="A9" s="9">
        <v>8</v>
      </c>
      <c r="B9" s="9" t="s">
        <v>5</v>
      </c>
      <c r="C9" s="9" t="s">
        <v>15</v>
      </c>
      <c r="D9" s="9" t="s">
        <v>21</v>
      </c>
      <c r="E9" s="9" t="s">
        <v>27</v>
      </c>
      <c r="F9" s="9" t="s">
        <v>2</v>
      </c>
      <c r="H9" s="9">
        <v>8</v>
      </c>
      <c r="I9" s="9" t="s">
        <v>5</v>
      </c>
      <c r="J9" s="9" t="s">
        <v>15</v>
      </c>
      <c r="K9" s="9" t="s">
        <v>2</v>
      </c>
      <c r="M9" s="9">
        <v>8</v>
      </c>
      <c r="N9" s="9" t="s">
        <v>5</v>
      </c>
      <c r="O9" s="9" t="s">
        <v>21</v>
      </c>
      <c r="P9" s="9" t="s">
        <v>2</v>
      </c>
    </row>
    <row r="10" spans="1:16" ht="31.9" thickBot="1" x14ac:dyDescent="0.35">
      <c r="A10" s="10">
        <v>9</v>
      </c>
      <c r="B10" s="10" t="s">
        <v>5</v>
      </c>
      <c r="C10" s="10" t="s">
        <v>16</v>
      </c>
      <c r="D10" s="10" t="s">
        <v>22</v>
      </c>
      <c r="E10" s="10" t="s">
        <v>27</v>
      </c>
      <c r="F10" s="10" t="s">
        <v>1</v>
      </c>
      <c r="H10" s="10">
        <v>9</v>
      </c>
      <c r="I10" s="10" t="s">
        <v>5</v>
      </c>
      <c r="J10" s="10" t="s">
        <v>16</v>
      </c>
      <c r="K10" s="10" t="s">
        <v>1</v>
      </c>
      <c r="M10" s="10">
        <v>9</v>
      </c>
      <c r="N10" s="10" t="s">
        <v>5</v>
      </c>
      <c r="O10" s="10" t="s">
        <v>22</v>
      </c>
      <c r="P10" s="10" t="s">
        <v>1</v>
      </c>
    </row>
    <row r="11" spans="1:16" ht="31.9" thickBot="1" x14ac:dyDescent="0.35">
      <c r="A11" s="9">
        <v>10</v>
      </c>
      <c r="B11" s="9" t="s">
        <v>29</v>
      </c>
      <c r="C11" s="9" t="s">
        <v>15</v>
      </c>
      <c r="D11" s="9" t="s">
        <v>22</v>
      </c>
      <c r="E11" s="9" t="s">
        <v>27</v>
      </c>
      <c r="F11" s="9" t="s">
        <v>1</v>
      </c>
      <c r="H11" s="9">
        <v>10</v>
      </c>
      <c r="I11" s="13" t="s">
        <v>29</v>
      </c>
      <c r="J11" s="13" t="s">
        <v>15</v>
      </c>
      <c r="K11" s="13" t="s">
        <v>1</v>
      </c>
      <c r="M11" s="9">
        <v>10</v>
      </c>
      <c r="N11" s="13" t="s">
        <v>29</v>
      </c>
      <c r="O11" s="13" t="s">
        <v>22</v>
      </c>
      <c r="P11" s="13" t="s">
        <v>1</v>
      </c>
    </row>
    <row r="12" spans="1:16" ht="31.9" thickBot="1" x14ac:dyDescent="0.35">
      <c r="A12" s="10">
        <v>11</v>
      </c>
      <c r="B12" s="10" t="s">
        <v>5</v>
      </c>
      <c r="C12" s="10" t="s">
        <v>15</v>
      </c>
      <c r="D12" s="10" t="s">
        <v>22</v>
      </c>
      <c r="E12" s="10" t="s">
        <v>28</v>
      </c>
      <c r="F12" s="10" t="s">
        <v>1</v>
      </c>
      <c r="H12" s="10">
        <v>11</v>
      </c>
      <c r="I12" s="10" t="s">
        <v>5</v>
      </c>
      <c r="J12" s="10" t="s">
        <v>15</v>
      </c>
      <c r="K12" s="10" t="s">
        <v>1</v>
      </c>
      <c r="M12" s="10">
        <v>11</v>
      </c>
      <c r="N12" s="10" t="s">
        <v>5</v>
      </c>
      <c r="O12" s="10" t="s">
        <v>22</v>
      </c>
      <c r="P12" s="10" t="s">
        <v>1</v>
      </c>
    </row>
    <row r="13" spans="1:16" ht="31.9" thickBot="1" x14ac:dyDescent="0.35">
      <c r="A13" s="9">
        <v>12</v>
      </c>
      <c r="B13" s="9" t="s">
        <v>6</v>
      </c>
      <c r="C13" s="9" t="s">
        <v>15</v>
      </c>
      <c r="D13" s="9" t="s">
        <v>21</v>
      </c>
      <c r="E13" s="9" t="s">
        <v>28</v>
      </c>
      <c r="F13" s="9" t="s">
        <v>1</v>
      </c>
      <c r="H13" s="12">
        <v>12</v>
      </c>
      <c r="I13" s="12" t="s">
        <v>6</v>
      </c>
      <c r="J13" s="12" t="s">
        <v>15</v>
      </c>
      <c r="K13" s="12" t="s">
        <v>1</v>
      </c>
      <c r="M13" s="11">
        <v>12</v>
      </c>
      <c r="N13" s="11" t="s">
        <v>6</v>
      </c>
      <c r="O13" s="11" t="s">
        <v>21</v>
      </c>
      <c r="P13" s="11" t="s">
        <v>1</v>
      </c>
    </row>
    <row r="14" spans="1:16" ht="31.9" thickBot="1" x14ac:dyDescent="0.35">
      <c r="A14" s="10">
        <v>13</v>
      </c>
      <c r="B14" s="10" t="s">
        <v>6</v>
      </c>
      <c r="C14" s="10" t="s">
        <v>14</v>
      </c>
      <c r="D14" s="10" t="s">
        <v>22</v>
      </c>
      <c r="E14" s="10" t="s">
        <v>27</v>
      </c>
      <c r="F14" s="10" t="s">
        <v>1</v>
      </c>
      <c r="H14" s="12">
        <v>13</v>
      </c>
      <c r="I14" s="12" t="s">
        <v>6</v>
      </c>
      <c r="J14" s="12" t="s">
        <v>14</v>
      </c>
      <c r="K14" s="12" t="s">
        <v>1</v>
      </c>
      <c r="M14" s="11">
        <v>13</v>
      </c>
      <c r="N14" s="11" t="s">
        <v>6</v>
      </c>
      <c r="O14" s="11" t="s">
        <v>22</v>
      </c>
      <c r="P14" s="11" t="s">
        <v>1</v>
      </c>
    </row>
    <row r="15" spans="1:16" ht="31.9" thickBot="1" x14ac:dyDescent="0.35">
      <c r="A15" s="9">
        <v>14</v>
      </c>
      <c r="B15" s="9" t="s">
        <v>29</v>
      </c>
      <c r="C15" s="9" t="s">
        <v>15</v>
      </c>
      <c r="D15" s="9" t="s">
        <v>21</v>
      </c>
      <c r="E15" s="9" t="s">
        <v>28</v>
      </c>
      <c r="F15" s="9" t="s">
        <v>2</v>
      </c>
      <c r="H15" s="9">
        <v>14</v>
      </c>
      <c r="I15" s="13" t="s">
        <v>29</v>
      </c>
      <c r="J15" s="13" t="s">
        <v>15</v>
      </c>
      <c r="K15" s="13" t="s">
        <v>2</v>
      </c>
      <c r="M15" s="9">
        <v>14</v>
      </c>
      <c r="N15" s="13" t="s">
        <v>29</v>
      </c>
      <c r="O15" s="13" t="s">
        <v>21</v>
      </c>
      <c r="P15" s="13" t="s">
        <v>2</v>
      </c>
    </row>
    <row r="18" spans="8:11" thickBot="1" x14ac:dyDescent="0.35"/>
    <row r="19" spans="8:11" ht="31.9" thickBot="1" x14ac:dyDescent="0.35">
      <c r="H19" s="7" t="s">
        <v>24</v>
      </c>
      <c r="I19" s="7" t="s">
        <v>0</v>
      </c>
      <c r="J19" s="7" t="s">
        <v>25</v>
      </c>
      <c r="K19" s="7" t="s">
        <v>26</v>
      </c>
    </row>
    <row r="20" spans="8:11" ht="32.450000000000003" thickTop="1" thickBot="1" x14ac:dyDescent="0.35">
      <c r="H20" s="8">
        <v>1</v>
      </c>
      <c r="I20" s="8" t="s">
        <v>5</v>
      </c>
      <c r="J20" s="8" t="s">
        <v>27</v>
      </c>
      <c r="K20" s="8" t="s">
        <v>2</v>
      </c>
    </row>
    <row r="21" spans="8:11" ht="31.9" thickBot="1" x14ac:dyDescent="0.35">
      <c r="H21" s="9">
        <v>2</v>
      </c>
      <c r="I21" s="9" t="s">
        <v>5</v>
      </c>
      <c r="J21" s="9" t="s">
        <v>28</v>
      </c>
      <c r="K21" s="9" t="s">
        <v>2</v>
      </c>
    </row>
    <row r="22" spans="8:11" ht="31.9" thickBot="1" x14ac:dyDescent="0.35">
      <c r="H22" s="10">
        <v>3</v>
      </c>
      <c r="I22" s="10" t="s">
        <v>6</v>
      </c>
      <c r="J22" s="10" t="s">
        <v>27</v>
      </c>
      <c r="K22" s="10" t="s">
        <v>1</v>
      </c>
    </row>
    <row r="23" spans="8:11" ht="31.9" thickBot="1" x14ac:dyDescent="0.35">
      <c r="H23" s="9">
        <v>4</v>
      </c>
      <c r="I23" s="13" t="s">
        <v>29</v>
      </c>
      <c r="J23" s="13" t="s">
        <v>27</v>
      </c>
      <c r="K23" s="13" t="s">
        <v>1</v>
      </c>
    </row>
    <row r="24" spans="8:11" ht="31.9" thickBot="1" x14ac:dyDescent="0.35">
      <c r="H24" s="10">
        <v>5</v>
      </c>
      <c r="I24" s="14" t="s">
        <v>29</v>
      </c>
      <c r="J24" s="14" t="s">
        <v>27</v>
      </c>
      <c r="K24" s="14" t="s">
        <v>1</v>
      </c>
    </row>
    <row r="25" spans="8:11" ht="31.9" thickBot="1" x14ac:dyDescent="0.35">
      <c r="H25" s="9">
        <v>6</v>
      </c>
      <c r="I25" s="13" t="s">
        <v>29</v>
      </c>
      <c r="J25" s="13" t="s">
        <v>28</v>
      </c>
      <c r="K25" s="13" t="s">
        <v>2</v>
      </c>
    </row>
    <row r="26" spans="8:11" ht="31.9" thickBot="1" x14ac:dyDescent="0.35">
      <c r="H26" s="10">
        <v>7</v>
      </c>
      <c r="I26" s="10" t="s">
        <v>6</v>
      </c>
      <c r="J26" s="10" t="s">
        <v>28</v>
      </c>
      <c r="K26" s="10" t="s">
        <v>1</v>
      </c>
    </row>
    <row r="27" spans="8:11" ht="31.9" thickBot="1" x14ac:dyDescent="0.35">
      <c r="H27" s="9">
        <v>8</v>
      </c>
      <c r="I27" s="9" t="s">
        <v>5</v>
      </c>
      <c r="J27" s="9" t="s">
        <v>27</v>
      </c>
      <c r="K27" s="9" t="s">
        <v>2</v>
      </c>
    </row>
    <row r="28" spans="8:11" ht="31.9" thickBot="1" x14ac:dyDescent="0.35">
      <c r="H28" s="10">
        <v>9</v>
      </c>
      <c r="I28" s="10" t="s">
        <v>5</v>
      </c>
      <c r="J28" s="10" t="s">
        <v>27</v>
      </c>
      <c r="K28" s="10" t="s">
        <v>1</v>
      </c>
    </row>
    <row r="29" spans="8:11" ht="31.9" thickBot="1" x14ac:dyDescent="0.35">
      <c r="H29" s="9">
        <v>10</v>
      </c>
      <c r="I29" s="13" t="s">
        <v>29</v>
      </c>
      <c r="J29" s="13" t="s">
        <v>27</v>
      </c>
      <c r="K29" s="13" t="s">
        <v>1</v>
      </c>
    </row>
    <row r="30" spans="8:11" ht="31.9" thickBot="1" x14ac:dyDescent="0.35">
      <c r="H30" s="10">
        <v>11</v>
      </c>
      <c r="I30" s="10" t="s">
        <v>5</v>
      </c>
      <c r="J30" s="10" t="s">
        <v>28</v>
      </c>
      <c r="K30" s="10" t="s">
        <v>1</v>
      </c>
    </row>
    <row r="31" spans="8:11" ht="31.9" thickBot="1" x14ac:dyDescent="0.35">
      <c r="H31" s="9">
        <v>12</v>
      </c>
      <c r="I31" s="9" t="s">
        <v>6</v>
      </c>
      <c r="J31" s="9" t="s">
        <v>28</v>
      </c>
      <c r="K31" s="9" t="s">
        <v>1</v>
      </c>
    </row>
    <row r="32" spans="8:11" ht="31.9" thickBot="1" x14ac:dyDescent="0.35">
      <c r="H32" s="10">
        <v>13</v>
      </c>
      <c r="I32" s="10" t="s">
        <v>6</v>
      </c>
      <c r="J32" s="10" t="s">
        <v>27</v>
      </c>
      <c r="K32" s="10" t="s">
        <v>1</v>
      </c>
    </row>
    <row r="33" spans="8:11" ht="31.9" thickBot="1" x14ac:dyDescent="0.35">
      <c r="H33" s="9">
        <v>14</v>
      </c>
      <c r="I33" s="13" t="s">
        <v>29</v>
      </c>
      <c r="J33" s="13" t="s">
        <v>28</v>
      </c>
      <c r="K33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10" workbookViewId="0">
      <selection activeCell="C14" sqref="C14"/>
    </sheetView>
  </sheetViews>
  <sheetFormatPr defaultColWidth="18.5703125" defaultRowHeight="15" x14ac:dyDescent="0.25"/>
  <cols>
    <col min="1" max="1" width="17.7109375" customWidth="1"/>
    <col min="5" max="5" width="38.42578125" customWidth="1"/>
    <col min="8" max="8" width="31.7109375" customWidth="1"/>
  </cols>
  <sheetData>
    <row r="1" spans="1:8" x14ac:dyDescent="0.3">
      <c r="F1" s="2"/>
      <c r="H1" s="2"/>
    </row>
    <row r="4" spans="1:8" x14ac:dyDescent="0.3">
      <c r="A4" s="15" t="s">
        <v>8</v>
      </c>
      <c r="B4" s="15"/>
      <c r="C4" s="15"/>
    </row>
    <row r="5" spans="1:8" x14ac:dyDescent="0.3">
      <c r="A5" s="5" t="s">
        <v>9</v>
      </c>
      <c r="B5" s="5" t="s">
        <v>1</v>
      </c>
      <c r="C5" s="5" t="s">
        <v>2</v>
      </c>
      <c r="D5" s="5" t="s">
        <v>4</v>
      </c>
    </row>
    <row r="6" spans="1:8" x14ac:dyDescent="0.3">
      <c r="A6" s="3">
        <v>14</v>
      </c>
      <c r="B6" s="3">
        <v>9</v>
      </c>
      <c r="C6" s="3">
        <v>5</v>
      </c>
      <c r="D6" s="3">
        <f>-(B6/A6*LOG(B6/A6,2) + C6/A6*LOG(C6/A6,2))</f>
        <v>0.94028595867063092</v>
      </c>
    </row>
    <row r="9" spans="1:8" x14ac:dyDescent="0.3">
      <c r="A9" s="15" t="s">
        <v>10</v>
      </c>
      <c r="B9" s="15"/>
      <c r="C9" s="15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6"/>
    </row>
    <row r="11" spans="1:8" x14ac:dyDescent="0.3">
      <c r="A11" s="3" t="s">
        <v>5</v>
      </c>
      <c r="B11" s="3">
        <v>2</v>
      </c>
      <c r="C11" s="3">
        <v>3</v>
      </c>
      <c r="D11" s="3">
        <f>B11+C11</f>
        <v>5</v>
      </c>
      <c r="E11" s="3">
        <f>-(B11/D11*LOG(B11/D11,2) + C11/D11*LOG(C11/D11,2))</f>
        <v>0.97095059445466858</v>
      </c>
    </row>
    <row r="12" spans="1:8" x14ac:dyDescent="0.3">
      <c r="A12" s="3" t="s">
        <v>6</v>
      </c>
      <c r="B12" s="3">
        <v>4</v>
      </c>
      <c r="C12" s="3">
        <v>0</v>
      </c>
      <c r="D12" s="3">
        <f t="shared" ref="D12:D13" si="0">B12+C12</f>
        <v>4</v>
      </c>
      <c r="E12" s="3">
        <f>0</f>
        <v>0</v>
      </c>
    </row>
    <row r="13" spans="1:8" x14ac:dyDescent="0.3">
      <c r="A13" s="3" t="s">
        <v>7</v>
      </c>
      <c r="B13" s="3">
        <v>4</v>
      </c>
      <c r="C13" s="3">
        <v>1</v>
      </c>
      <c r="D13" s="3">
        <f t="shared" si="0"/>
        <v>5</v>
      </c>
      <c r="E13" s="3">
        <f>-(B13/D13*LOG(B13/D13,2) + C13/D13*LOG(C13/D13,2))</f>
        <v>0.72192809488736231</v>
      </c>
    </row>
    <row r="15" spans="1:8" x14ac:dyDescent="0.3">
      <c r="A15" s="4" t="s">
        <v>18</v>
      </c>
      <c r="B15" s="4">
        <f>((D11/$A$6)*E11+(D12/$A$6)*E12+(D13/$A$6)*E13)</f>
        <v>0.60459953190786819</v>
      </c>
    </row>
    <row r="16" spans="1:8" x14ac:dyDescent="0.3">
      <c r="A16" s="4" t="s">
        <v>17</v>
      </c>
      <c r="B16" s="4">
        <f>$D$6-B15</f>
        <v>0.33568642676276272</v>
      </c>
    </row>
    <row r="19" spans="1:5" x14ac:dyDescent="0.3">
      <c r="A19" s="15" t="s">
        <v>12</v>
      </c>
      <c r="B19" s="15"/>
      <c r="C19" s="15"/>
    </row>
    <row r="20" spans="1:5" x14ac:dyDescent="0.3">
      <c r="A20" s="1" t="s">
        <v>13</v>
      </c>
      <c r="B20" s="1" t="s">
        <v>1</v>
      </c>
      <c r="C20" s="1" t="s">
        <v>2</v>
      </c>
      <c r="D20" s="1" t="s">
        <v>3</v>
      </c>
      <c r="E20" s="1" t="s">
        <v>19</v>
      </c>
    </row>
    <row r="21" spans="1:5" x14ac:dyDescent="0.3">
      <c r="A21" s="3" t="s">
        <v>14</v>
      </c>
      <c r="B21" s="3">
        <v>2</v>
      </c>
      <c r="C21" s="3">
        <v>2</v>
      </c>
      <c r="D21" s="3">
        <f>B21+C21</f>
        <v>4</v>
      </c>
      <c r="E21" s="3">
        <f>-(B21/D21*LOG(B21/D21,2) + C21/D21*LOG(C21/D21,2))</f>
        <v>1</v>
      </c>
    </row>
    <row r="22" spans="1:5" x14ac:dyDescent="0.3">
      <c r="A22" s="3" t="s">
        <v>15</v>
      </c>
      <c r="B22" s="3">
        <v>5</v>
      </c>
      <c r="C22" s="3">
        <v>1</v>
      </c>
      <c r="D22" s="3">
        <f t="shared" ref="D22:D23" si="1">B22+C22</f>
        <v>6</v>
      </c>
      <c r="E22" s="3">
        <f>-(B22/D22*LOG(B22/D22,2) + C22/D22*LOG(C22/D22,2))</f>
        <v>0.65002242164835411</v>
      </c>
    </row>
    <row r="23" spans="1:5" x14ac:dyDescent="0.3">
      <c r="A23" s="3" t="s">
        <v>16</v>
      </c>
      <c r="B23" s="3">
        <v>3</v>
      </c>
      <c r="C23" s="3">
        <v>1</v>
      </c>
      <c r="D23" s="3">
        <f t="shared" si="1"/>
        <v>4</v>
      </c>
      <c r="E23" s="3">
        <f>-(B23/D23*LOG(B23/D23,2) + C23/D23*LOG(C23/D23,2))</f>
        <v>0.81127812445913283</v>
      </c>
    </row>
    <row r="25" spans="1:5" x14ac:dyDescent="0.3">
      <c r="A25" s="4" t="s">
        <v>18</v>
      </c>
      <c r="B25" s="4">
        <f>((D21/$A$6)*E21+(D22/$A$6)*E22+(D23/$A$6)*E23)</f>
        <v>0.79608907340904689</v>
      </c>
    </row>
    <row r="26" spans="1:5" x14ac:dyDescent="0.3">
      <c r="A26" s="4" t="s">
        <v>17</v>
      </c>
      <c r="B26" s="4">
        <f>$D$6-B25</f>
        <v>0.14419688526158403</v>
      </c>
    </row>
    <row r="29" spans="1:5" x14ac:dyDescent="0.3">
      <c r="A29" s="15" t="s">
        <v>20</v>
      </c>
      <c r="B29" s="15"/>
      <c r="C29" s="15"/>
    </row>
    <row r="30" spans="1:5" x14ac:dyDescent="0.3">
      <c r="A30" s="1" t="s">
        <v>13</v>
      </c>
      <c r="B30" s="1" t="s">
        <v>1</v>
      </c>
      <c r="C30" s="1" t="s">
        <v>2</v>
      </c>
      <c r="D30" s="1" t="s">
        <v>3</v>
      </c>
      <c r="E30" s="1" t="s">
        <v>19</v>
      </c>
    </row>
    <row r="31" spans="1:5" x14ac:dyDescent="0.3">
      <c r="A31" s="3" t="s">
        <v>21</v>
      </c>
      <c r="B31" s="3">
        <v>3</v>
      </c>
      <c r="C31" s="3">
        <v>4</v>
      </c>
      <c r="D31" s="3">
        <f>B31+C31</f>
        <v>7</v>
      </c>
      <c r="E31" s="3">
        <f>-(B31/D31*LOG(B31/D31,2) + C31/D31*LOG(C31/D31,2))</f>
        <v>0.98522813603425163</v>
      </c>
    </row>
    <row r="32" spans="1:5" x14ac:dyDescent="0.3">
      <c r="A32" s="3" t="s">
        <v>22</v>
      </c>
      <c r="B32" s="3">
        <v>6</v>
      </c>
      <c r="C32" s="3">
        <v>1</v>
      </c>
      <c r="D32" s="3">
        <f>B32+C32</f>
        <v>7</v>
      </c>
      <c r="E32" s="3">
        <f>-(B32/D32*LOG(B32/D32,2) + C32/D32*LOG(C32/D32,2))</f>
        <v>0.59167277858232747</v>
      </c>
    </row>
    <row r="34" spans="1:5" x14ac:dyDescent="0.3">
      <c r="A34" s="4" t="s">
        <v>18</v>
      </c>
      <c r="B34" s="4">
        <f>((D31/$A$6)*E31+(D32/$A$6)*E32)</f>
        <v>0.78845045730828955</v>
      </c>
    </row>
    <row r="35" spans="1:5" x14ac:dyDescent="0.3">
      <c r="A35" s="4" t="s">
        <v>17</v>
      </c>
      <c r="B35" s="4">
        <f>$D$6-B34</f>
        <v>0.15183550136234136</v>
      </c>
    </row>
    <row r="38" spans="1:5" x14ac:dyDescent="0.3">
      <c r="A38" s="15" t="s">
        <v>32</v>
      </c>
      <c r="B38" s="15"/>
      <c r="C38" s="15"/>
    </row>
    <row r="39" spans="1:5" x14ac:dyDescent="0.3">
      <c r="A39" s="1" t="s">
        <v>23</v>
      </c>
      <c r="B39" s="1" t="s">
        <v>1</v>
      </c>
      <c r="C39" s="1" t="s">
        <v>2</v>
      </c>
      <c r="D39" s="1" t="s">
        <v>3</v>
      </c>
      <c r="E39" s="1" t="s">
        <v>19</v>
      </c>
    </row>
    <row r="40" spans="1:5" x14ac:dyDescent="0.3">
      <c r="A40" s="3" t="s">
        <v>27</v>
      </c>
      <c r="B40" s="3">
        <v>5</v>
      </c>
      <c r="C40" s="3">
        <v>2</v>
      </c>
      <c r="D40" s="3">
        <f>B40+C40</f>
        <v>7</v>
      </c>
      <c r="E40" s="3">
        <f>-(B40/D40*LOG(B40/D40,2) + C40/D40*LOG(C40/D40,2))</f>
        <v>0.863120568566631</v>
      </c>
    </row>
    <row r="41" spans="1:5" x14ac:dyDescent="0.3">
      <c r="A41" s="3" t="s">
        <v>28</v>
      </c>
      <c r="B41" s="3">
        <v>4</v>
      </c>
      <c r="C41" s="3">
        <v>3</v>
      </c>
      <c r="D41" s="3">
        <f>B41+C41</f>
        <v>7</v>
      </c>
      <c r="E41" s="3">
        <f>-(B41/D41*LOG(B41/D41,2) + C41/D41*LOG(C41/D41,2))</f>
        <v>0.98522813603425163</v>
      </c>
    </row>
    <row r="43" spans="1:5" x14ac:dyDescent="0.3">
      <c r="A43" s="4" t="s">
        <v>18</v>
      </c>
      <c r="B43" s="4">
        <f>((D40/$A$6)*E40+(D41/$A$6)*E41)</f>
        <v>0.92417435230044132</v>
      </c>
    </row>
    <row r="44" spans="1:5" x14ac:dyDescent="0.3">
      <c r="A44" s="4" t="s">
        <v>17</v>
      </c>
      <c r="B44" s="4">
        <f>$D$6-B43</f>
        <v>1.6111606370189602E-2</v>
      </c>
    </row>
  </sheetData>
  <mergeCells count="5"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tabSelected="1" topLeftCell="A4" workbookViewId="0">
      <selection activeCell="B27" sqref="B27"/>
    </sheetView>
  </sheetViews>
  <sheetFormatPr defaultRowHeight="15" x14ac:dyDescent="0.25"/>
  <cols>
    <col min="1" max="1" width="20.42578125" customWidth="1"/>
    <col min="4" max="4" width="15.5703125" customWidth="1"/>
  </cols>
  <sheetData>
    <row r="2" spans="1:7" x14ac:dyDescent="0.3">
      <c r="A2" s="15" t="s">
        <v>33</v>
      </c>
      <c r="B2" s="15"/>
      <c r="C2" s="15"/>
      <c r="D2" s="15"/>
    </row>
    <row r="3" spans="1:7" x14ac:dyDescent="0.3">
      <c r="A3" s="5" t="s">
        <v>9</v>
      </c>
      <c r="B3" s="5" t="s">
        <v>1</v>
      </c>
      <c r="C3" s="5" t="s">
        <v>2</v>
      </c>
      <c r="D3" s="5" t="s">
        <v>4</v>
      </c>
    </row>
    <row r="4" spans="1:7" x14ac:dyDescent="0.3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">
      <c r="A7" s="15" t="s">
        <v>34</v>
      </c>
      <c r="B7" s="15"/>
      <c r="C7" s="15"/>
      <c r="D7" s="15"/>
    </row>
    <row r="8" spans="1:7" x14ac:dyDescent="0.3">
      <c r="A8" s="1" t="s">
        <v>11</v>
      </c>
      <c r="B8" s="1" t="s">
        <v>1</v>
      </c>
      <c r="C8" s="1" t="s">
        <v>2</v>
      </c>
      <c r="D8" s="1" t="s">
        <v>3</v>
      </c>
      <c r="E8" s="1" t="s">
        <v>19</v>
      </c>
    </row>
    <row r="9" spans="1:7" x14ac:dyDescent="0.3">
      <c r="A9" s="3" t="s">
        <v>21</v>
      </c>
      <c r="B9" s="3">
        <v>0</v>
      </c>
      <c r="C9" s="3">
        <v>3</v>
      </c>
      <c r="D9" s="3">
        <f>B9+C9</f>
        <v>3</v>
      </c>
      <c r="E9" s="3">
        <v>0</v>
      </c>
      <c r="G9" t="s">
        <v>31</v>
      </c>
    </row>
    <row r="10" spans="1:7" x14ac:dyDescent="0.3">
      <c r="A10" s="3" t="s">
        <v>22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">
      <c r="A12" s="4" t="s">
        <v>18</v>
      </c>
      <c r="B12" s="4">
        <v>0</v>
      </c>
    </row>
    <row r="13" spans="1:7" x14ac:dyDescent="0.3">
      <c r="A13" s="4" t="s">
        <v>17</v>
      </c>
      <c r="B13" s="4">
        <f>$D$4-B12</f>
        <v>0.97095059445466858</v>
      </c>
    </row>
    <row r="16" spans="1:7" x14ac:dyDescent="0.3">
      <c r="A16" s="15" t="s">
        <v>35</v>
      </c>
      <c r="B16" s="15"/>
      <c r="C16" s="15"/>
      <c r="D16" s="15"/>
    </row>
    <row r="17" spans="1:5" x14ac:dyDescent="0.3">
      <c r="A17" s="5" t="s">
        <v>9</v>
      </c>
      <c r="B17" s="5" t="s">
        <v>1</v>
      </c>
      <c r="C17" s="5" t="s">
        <v>2</v>
      </c>
      <c r="D17" s="5" t="s">
        <v>4</v>
      </c>
    </row>
    <row r="18" spans="1:5" x14ac:dyDescent="0.3">
      <c r="A18" s="3">
        <v>5</v>
      </c>
      <c r="B18" s="3">
        <v>3</v>
      </c>
      <c r="C18" s="3">
        <v>2</v>
      </c>
      <c r="D18" s="3">
        <f>-(B18/A18*LOG(B18/A18,2) + C18/A18*LOG(C18/A18,2))</f>
        <v>0.97095059445466858</v>
      </c>
    </row>
    <row r="21" spans="1:5" x14ac:dyDescent="0.3">
      <c r="A21" s="15" t="s">
        <v>36</v>
      </c>
      <c r="B21" s="15"/>
      <c r="C21" s="15"/>
      <c r="D21" s="15"/>
    </row>
    <row r="22" spans="1:5" x14ac:dyDescent="0.3">
      <c r="A22" s="1" t="s">
        <v>25</v>
      </c>
      <c r="B22" s="1" t="s">
        <v>1</v>
      </c>
      <c r="C22" s="1" t="s">
        <v>2</v>
      </c>
      <c r="D22" s="1" t="s">
        <v>3</v>
      </c>
      <c r="E22" s="1" t="s">
        <v>19</v>
      </c>
    </row>
    <row r="23" spans="1:5" x14ac:dyDescent="0.3">
      <c r="A23" s="3" t="s">
        <v>27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">
      <c r="A24" s="3" t="s">
        <v>28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">
      <c r="A26" s="4" t="s">
        <v>18</v>
      </c>
      <c r="B26" s="4">
        <v>0</v>
      </c>
    </row>
    <row r="27" spans="1:5" x14ac:dyDescent="0.3">
      <c r="A27" s="4" t="s">
        <v>17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Menentukan Root</vt:lpstr>
      <vt:lpstr>Menentukan Cabang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hp 645</cp:lastModifiedBy>
  <dcterms:created xsi:type="dcterms:W3CDTF">2025-04-15T08:45:59Z</dcterms:created>
  <dcterms:modified xsi:type="dcterms:W3CDTF">2026-04-27T07:52:22Z</dcterms:modified>
</cp:coreProperties>
</file>